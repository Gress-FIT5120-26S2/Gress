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onash\FIT5120\Gress\docs\testing\"/>
    </mc:Choice>
  </mc:AlternateContent>
  <xr:revisionPtr revIDLastSave="0" documentId="13_ncr:2001_{5274B561-BEF9-467D-840A-96D6E57BAA0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est Cases" sheetId="1" r:id="rId1"/>
    <sheet name="Test Report" sheetId="2" r:id="rId2"/>
  </sheets>
  <definedNames>
    <definedName name="_xlnm._FilterDatabase" localSheetId="0" hidden="1">'Test Cases'!$A$1:$K$100</definedName>
    <definedName name="_xlnm.Print_Area" localSheetId="1">'Test Report'!$A$1:$F$69</definedName>
    <definedName name="_xlnm.Print_Titles" localSheetId="0">'Test Cases'!$1:$1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2" l="1"/>
  <c r="E43" i="2"/>
  <c r="D43" i="2"/>
  <c r="C43" i="2"/>
  <c r="B43" i="2"/>
  <c r="F42" i="2"/>
  <c r="E42" i="2"/>
  <c r="D42" i="2"/>
  <c r="C42" i="2"/>
  <c r="B42" i="2"/>
  <c r="F41" i="2"/>
  <c r="E41" i="2"/>
  <c r="D41" i="2"/>
  <c r="C41" i="2"/>
  <c r="B41" i="2"/>
  <c r="F40" i="2"/>
  <c r="E40" i="2"/>
  <c r="D40" i="2"/>
  <c r="C40" i="2"/>
  <c r="B40" i="2"/>
  <c r="F39" i="2"/>
  <c r="E39" i="2"/>
  <c r="D39" i="2"/>
  <c r="C39" i="2"/>
  <c r="B39" i="2"/>
  <c r="F38" i="2"/>
  <c r="E38" i="2"/>
  <c r="D38" i="2"/>
  <c r="C38" i="2"/>
  <c r="B38" i="2"/>
  <c r="F37" i="2"/>
  <c r="E37" i="2"/>
  <c r="D37" i="2"/>
  <c r="C37" i="2"/>
  <c r="B37" i="2"/>
  <c r="F36" i="2"/>
  <c r="E36" i="2"/>
  <c r="D36" i="2"/>
  <c r="C36" i="2"/>
  <c r="B36" i="2"/>
  <c r="F35" i="2"/>
  <c r="E35" i="2"/>
  <c r="D35" i="2"/>
  <c r="C35" i="2"/>
  <c r="B35" i="2"/>
  <c r="F34" i="2"/>
  <c r="E34" i="2"/>
  <c r="D34" i="2"/>
  <c r="C34" i="2"/>
  <c r="B34" i="2"/>
  <c r="F33" i="2"/>
  <c r="E33" i="2"/>
  <c r="D33" i="2"/>
  <c r="C33" i="2"/>
  <c r="B33" i="2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F28" i="2"/>
  <c r="E28" i="2"/>
  <c r="D28" i="2"/>
  <c r="C28" i="2"/>
  <c r="B28" i="2"/>
  <c r="B23" i="2"/>
  <c r="B51" i="2" s="1"/>
  <c r="B22" i="2"/>
  <c r="B50" i="2" s="1"/>
  <c r="B21" i="2"/>
  <c r="B49" i="2" s="1"/>
  <c r="B20" i="2"/>
  <c r="B48" i="2" s="1"/>
  <c r="B19" i="2"/>
  <c r="B47" i="2" s="1"/>
  <c r="B18" i="2"/>
  <c r="B17" i="2"/>
  <c r="B24" i="2" l="1"/>
</calcChain>
</file>

<file path=xl/sharedStrings.xml><?xml version="1.0" encoding="utf-8"?>
<sst xmlns="http://schemas.openxmlformats.org/spreadsheetml/2006/main" count="1081" uniqueCount="638">
  <si>
    <t>Case ID</t>
  </si>
  <si>
    <t>Module</t>
  </si>
  <si>
    <t>Title</t>
  </si>
  <si>
    <t>Priority</t>
  </si>
  <si>
    <t>Type</t>
  </si>
  <si>
    <t>Preconditions</t>
  </si>
  <si>
    <t>Test Steps</t>
  </si>
  <si>
    <t>Expected Result</t>
  </si>
  <si>
    <t>Actual Result</t>
  </si>
  <si>
    <t>Status</t>
  </si>
  <si>
    <t>Notes</t>
  </si>
  <si>
    <t>TC-ONB-001</t>
  </si>
  <si>
    <t>Onboarding</t>
  </si>
  <si>
    <t>Opening animation completes and reveals the kitchen</t>
  </si>
  <si>
    <t>High</t>
  </si>
  <si>
    <t>UI</t>
  </si>
  <si>
    <t>Fresh install or app relaunch; network available.</t>
  </si>
  <si>
    <t>1. Launch the app.
2. Wait for the opening sequence.
3. Observe the home kitchen.</t>
  </si>
  <si>
    <t>The opener finishes, the 3D kitchen appears, and the app is interactive. It does not stay on the opener forever.</t>
  </si>
  <si>
    <t>TC-ONB-002</t>
  </si>
  <si>
    <t>First-use journey is shown only once</t>
  </si>
  <si>
    <t>Functional</t>
  </si>
  <si>
    <t>Device has no completed first-use flag.</t>
  </si>
  <si>
    <t>1. Launch after a fresh install.
2. Complete the first-use pages and enter the kitchen.
3. Force-close and reopen the app.</t>
  </si>
  <si>
    <t>The journey appears on first launch. After completion it does not appear again on the same device.</t>
  </si>
  <si>
    <t>TC-ONB-003</t>
  </si>
  <si>
    <t>First-use pages can be navigated forward and back</t>
  </si>
  <si>
    <t>Medium</t>
  </si>
  <si>
    <t>First-use journey is visible.</t>
  </si>
  <si>
    <t>1. Open the journey.
2. Use Next through each page.
3. Use Back to return to an earlier page.</t>
  </si>
  <si>
    <t>Progress text updates. Back restores the previous page. Enter kitchen completes the flow.</t>
  </si>
  <si>
    <t>TC-ONB-004</t>
  </si>
  <si>
    <t>Device bootstrap creates a personal fridge</t>
  </si>
  <si>
    <t>Integration</t>
  </si>
  <si>
    <t>New device ID; Express and Supabase reachable.</t>
  </si>
  <si>
    <t>1. Complete first launch.
2. Open Fridge.
3. Confirm the fridge name/scope.</t>
  </si>
  <si>
    <t>The device receives a personal fridge with default categories. Inventory can load without a no-fridge error.</t>
  </si>
  <si>
    <t>TC-HOME-001</t>
  </si>
  <si>
    <t>Home</t>
  </si>
  <si>
    <t>Bottom tabs expose Home, Cart, Fridge, and Me</t>
  </si>
  <si>
    <t>First-use journey completed.</t>
  </si>
  <si>
    <t>1. Look at the floating tab bar.
2. Tap each visible tab.</t>
  </si>
  <si>
    <t>TC-HOME-002</t>
  </si>
  <si>
    <t>3D fridge hotspot opens the unfiltered fridge</t>
  </si>
  <si>
    <t>Home kitchen is loaded; inventory may contain expiring items.</t>
  </si>
  <si>
    <t>1. Tap the white hotspot on the 3D fridge.
2. Check the fridge filter chips.</t>
  </si>
  <si>
    <t>The fridge page opens. No filter chip is pre-selected. All active items are listed.</t>
  </si>
  <si>
    <t>TC-HOME-003</t>
  </si>
  <si>
    <t>3D cart hotspot opens shopping</t>
  </si>
  <si>
    <t>Home kitchen is loaded.</t>
  </si>
  <si>
    <t>1. Tap the shopping cart in the 3D scene.</t>
  </si>
  <si>
    <t>The shopping screen opens after the cinematic transition.</t>
  </si>
  <si>
    <t>TC-HOME-004</t>
  </si>
  <si>
    <t>3D mailbox opens the notification inbox</t>
  </si>
  <si>
    <t>1. Tap the mailbox in the 3D scene.</t>
  </si>
  <si>
    <t>The notification inbox opens. Unread count matches the home mailbox badge.</t>
  </si>
  <si>
    <t>TC-HOME-005</t>
  </si>
  <si>
    <t>Stove and recipe book stay in-scene</t>
  </si>
  <si>
    <t>1. Tap the stove.
2. Tap the recipe book.</t>
  </si>
  <si>
    <t>Camera/scene feedback occurs in place. The app does not navigate to a recipe destination.</t>
  </si>
  <si>
    <t>TC-HOME-006</t>
  </si>
  <si>
    <t>Expiring headline count matches fridge Expiring chip</t>
  </si>
  <si>
    <t>Fridge contains N active items that expire within 3 days and are not yet expired.</t>
  </si>
  <si>
    <t>1. Note the home headline count.
2. Open Fridge from the tab bar.
3. Compare the Expiring chip count.</t>
  </si>
  <si>
    <t>Home count equals the fridge Expiring chip count. It is not a hardcoded sample such as 2.</t>
  </si>
  <si>
    <t>TC-HOME-007</t>
  </si>
  <si>
    <t>Tapping the expiring headline opens fridge Expiring filter</t>
  </si>
  <si>
    <t>At least one expiring item exists.</t>
  </si>
  <si>
    <t>1. Tap the home headline (e.g. '3 ingredients to use soon').
2. Inspect fridge chips and list.</t>
  </si>
  <si>
    <t>Fridge opens with the Expiring chip selected. The list shows only not-expired items with days left &lt;= 3.</t>
  </si>
  <si>
    <t>TC-HOME-008</t>
  </si>
  <si>
    <t>Use first appears when nothing is expiring</t>
  </si>
  <si>
    <t>Fridge has no expiring items (empty fridge, or all items expire after 3 days / already expired).</t>
  </si>
  <si>
    <t>1. Open Home.
2. Read the freshness headline.
3. Tap Use first.</t>
  </si>
  <si>
    <t>TC-HOME-009</t>
  </si>
  <si>
    <t>Expired items are not counted as expiring</t>
  </si>
  <si>
    <t>One item expired yesterday; one item expires in 2 days.</t>
  </si>
  <si>
    <t>1. Check home count.
2. Check fridge Expiring and Expired chips.</t>
  </si>
  <si>
    <t>Home count is 1. Expiring chip is 1. Expired chip includes the yesterday item. Expired items are not in Expiring.</t>
  </si>
  <si>
    <t>TC-HOME-010</t>
  </si>
  <si>
    <t>Items without expiry are not counted as expiring</t>
  </si>
  <si>
    <t>An active item has no expiry date.</t>
  </si>
  <si>
    <t>1. Open Home and Fridge Expiring.</t>
  </si>
  <si>
    <t>The undated item is absent from the expiring count and Expiring list.</t>
  </si>
  <si>
    <t>TC-HOME-011</t>
  </si>
  <si>
    <t>Mailbox numeric badge uses badgeCount, not raw unreadCount</t>
  </si>
  <si>
    <t>Inbox has unread items; notification badges are enabled and quiet hours are off.</t>
  </si>
  <si>
    <t>1. Note the orange number on the home mail button.
2. Open the inbox and compare unread summary.
3. Disable home badges in Me &gt; Notifications &amp; reminders.</t>
  </si>
  <si>
    <t>When badges are on, the orange number equals API badgeCount (capped at 99+). Turning badges off or entering quiet hours hides the number even if unread items remain. The mail icon can still show an unread glyph from unreadCount.</t>
  </si>
  <si>
    <t>TC-HOME-012</t>
  </si>
  <si>
    <t>Kitchen lighting follows time of day</t>
  </si>
  <si>
    <t>Low</t>
  </si>
  <si>
    <t>Device clock is at night, then daytime if possible.</t>
  </si>
  <si>
    <t>1. Observe home lighting and period label.</t>
  </si>
  <si>
    <t>Period copy matches the current phase (night/dawn/day/sunset). Night uses light status bar treatment.</t>
  </si>
  <si>
    <t>TC-HOME-013</t>
  </si>
  <si>
    <t>Tapping the home mailbox opens the full notification page</t>
  </si>
  <si>
    <t>1. Tap the overlay mail button.</t>
  </si>
  <si>
    <t>A full notification centre page opens (back, title, refresh). It is not an inline placeholder under generic screen copy.</t>
  </si>
  <si>
    <t>TC-FRG-001</t>
  </si>
  <si>
    <t>Fridge</t>
  </si>
  <si>
    <t>Inventory list loads active batches</t>
  </si>
  <si>
    <t>Fridge contains at least two active batches.</t>
  </si>
  <si>
    <t>1. Open Fridge from the tab bar.
2. Pull to refresh.</t>
  </si>
  <si>
    <t>Active batches appear with name, quantity, storage, and freshness. Soft-deleted items are not listed.</t>
  </si>
  <si>
    <t>TC-FRG-002</t>
  </si>
  <si>
    <t>Tab-bar fridge entry is unfiltered</t>
  </si>
  <si>
    <t>Previous visit used the home expiring link.</t>
  </si>
  <si>
    <t>1. From Home, tap Use first / expiring headline.
2. Go Home.
3. Tap the Fridge tab.</t>
  </si>
  <si>
    <t>The second visit is unfiltered. The Expiring chip is not still selected.</t>
  </si>
  <si>
    <t>TC-FRG-003</t>
  </si>
  <si>
    <t>Search filters by food name</t>
  </si>
  <si>
    <t>Fridge contains Milk and Tomato.</t>
  </si>
  <si>
    <t>1. Type 'tom' in search.
2. Clear search.</t>
  </si>
  <si>
    <t>Only matching names remain. Clearing restores the previous filter/category combination.</t>
  </si>
  <si>
    <t>TC-FRG-004</t>
  </si>
  <si>
    <t>Storage chips filter chilled, frozen, and pantry</t>
  </si>
  <si>
    <t>At least one item in each storage zone, if possible.</t>
  </si>
  <si>
    <t>1. Tap Chilled, Frozen, then Pantry.
2. Confirm counts on chips.</t>
  </si>
  <si>
    <t>Each chip shows only items in that storage zone. Chip counts match the visible matching items.</t>
  </si>
  <si>
    <t>TC-FRG-005</t>
  </si>
  <si>
    <t>Expiring chip uses the 3-day not-expired rule</t>
  </si>
  <si>
    <t>Items at: expired, 0-3 days left, 4+ days left, no date.</t>
  </si>
  <si>
    <t>1. Select Expiring.</t>
  </si>
  <si>
    <t>Only not-expired items with daysLeft &lt;= 3 appear. Expired, undated, and 4+ day items are excluded.</t>
  </si>
  <si>
    <t>TC-FRG-006</t>
  </si>
  <si>
    <t>Expired chip shows past-expiry active items</t>
  </si>
  <si>
    <t>At least one active item with expiresAt in the past.</t>
  </si>
  <si>
    <t>1. Select Expired.</t>
  </si>
  <si>
    <t>Only items whose expiry timestamp is before now appear.</t>
  </si>
  <si>
    <t>TC-FRG-007</t>
  </si>
  <si>
    <t>Restock chip shows items at or below the restock minimum</t>
  </si>
  <si>
    <t>A restock rule exists and remaining quantity is at or below minimum.</t>
  </si>
  <si>
    <t>1. Select Restock.</t>
  </si>
  <si>
    <t>Only items flagged needsRestock appear. Chip count matches.</t>
  </si>
  <si>
    <t>TC-FRG-008</t>
  </si>
  <si>
    <t>Category chips can combine with a status filter</t>
  </si>
  <si>
    <t>Expiring items exist in more than one category.</t>
  </si>
  <si>
    <t>1. Select Expiring.
2. Select Vegetables.</t>
  </si>
  <si>
    <t>The list is the intersection of both conditions. Clearing filters restores all items.</t>
  </si>
  <si>
    <t>TC-FRG-009</t>
  </si>
  <si>
    <t>Empty expiring state is understandable</t>
  </si>
  <si>
    <t>No expiring items.</t>
  </si>
  <si>
    <t>1. Open Fridge via the home Use first link.</t>
  </si>
  <si>
    <t>Expiring is selected and an empty state is shown. The app does not crash.</t>
  </si>
  <si>
    <t>TC-FRG-010</t>
  </si>
  <si>
    <t>Fridge assistant can be opened and closed</t>
  </si>
  <si>
    <t>Fridge has dated inventory.</t>
  </si>
  <si>
    <t>1. Open the fridge assistant.
2. Ask a use-first / restock style question.
3. Close it.</t>
  </si>
  <si>
    <t>Assistant answers from current batches. Closing returns to the fridge list.</t>
  </si>
  <si>
    <t>TC-ADD-001</t>
  </si>
  <si>
    <t>Add item</t>
  </si>
  <si>
    <t>Add sheet offers manual entry and photo recognition</t>
  </si>
  <si>
    <t>Fridge screen is open.</t>
  </si>
  <si>
    <t>1. Tap the add (+) control.</t>
  </si>
  <si>
    <t>A bottom sheet titled Add ingredients appears with Manual entry and Photo recognition cards. Photo recognition shows Recommended on its own top row.</t>
  </si>
  <si>
    <t>TC-ADD-002</t>
  </si>
  <si>
    <t>Manual entry and Photo recognition titles align</t>
  </si>
  <si>
    <t>Add sheet is open.</t>
  </si>
  <si>
    <t>1. Compare the two cards.</t>
  </si>
  <si>
    <t>Recommended sits above the camera icon, not over the title. Manual entry has matching top spacing so both titles start at the same height. No arrow buttons.</t>
  </si>
  <si>
    <t>TC-ADD-003</t>
  </si>
  <si>
    <t>Closing the sheet without a choice returns to fridge</t>
  </si>
  <si>
    <t>1. Tap the close (X) or the backdrop.</t>
  </si>
  <si>
    <t>The sheet dismisses. Fridge remains visible. No camera or form opens.</t>
  </si>
  <si>
    <t>TC-ADD-004</t>
  </si>
  <si>
    <t>Selecting manual entry opens the shared form</t>
  </si>
  <si>
    <t>1. Tap Manual entry.</t>
  </si>
  <si>
    <t>InventoryEntryFlow opens. The previous sheet does not intercept touches.</t>
  </si>
  <si>
    <t>TC-ADD-005</t>
  </si>
  <si>
    <t>Selecting photo recognition opens the camera flow</t>
  </si>
  <si>
    <t>Camera permission can be granted.</t>
  </si>
  <si>
    <t>1. Tap Photo recognition.
2. Grant permission if asked.</t>
  </si>
  <si>
    <t>The recognition camera / gallery flow opens.</t>
  </si>
  <si>
    <t>TC-INV-001</t>
  </si>
  <si>
    <t>Inventory entry</t>
  </si>
  <si>
    <t>Manual save creates a new independent batch</t>
  </si>
  <si>
    <t>Form is open; a food name, quantity, storage, and optional expiry are filled.</t>
  </si>
  <si>
    <t>1. Enter Milk, quantity 2, chilled, expiry in 5 days.
2. Save.
3. Repeat with the same name on another day.</t>
  </si>
  <si>
    <t>Each save creates a separate batch. Same-name items are not merged.</t>
  </si>
  <si>
    <t>TC-INV-002</t>
  </si>
  <si>
    <t>Known food name loads a preset suggestion</t>
  </si>
  <si>
    <t>Seed presets exist (e.g. tomato, milk).</t>
  </si>
  <si>
    <t>1. Type tomato or a known alias.
2. Wait for suggestion.
3. Accept and save.</t>
  </si>
  <si>
    <t>Suggested storage, category, shelf life, and icon appear. Saving stores presetUid when the preset is enabled.</t>
  </si>
  <si>
    <t>TC-INV-003</t>
  </si>
  <si>
    <t>Unknown name offers AI generate instead of web search</t>
  </si>
  <si>
    <t>Gemini/Cloudflare credentials configured; name is not in presets.</t>
  </si>
  <si>
    <t>1. Type an uncommon food name.
2. Tap AI generate.
3. Review editable suggestion and save.</t>
  </si>
  <si>
    <t>A reusable global preset and icon are generated. The form stays editable. Inventory is written only after Save.</t>
  </si>
  <si>
    <t>TC-INV-004</t>
  </si>
  <si>
    <t>AI generate is rate-limited per device</t>
  </si>
  <si>
    <t>Negative</t>
  </si>
  <si>
    <t>Server generation limit is 5 new foods per device per hour.</t>
  </si>
  <si>
    <t>1. Trigger AI generate more than 5 times in one hour.</t>
  </si>
  <si>
    <t>Further generate requests are rejected with a clear error. Manual entry still works.</t>
  </si>
  <si>
    <t>TC-INV-005</t>
  </si>
  <si>
    <t>Expiry cannot be earlier than stocked time</t>
  </si>
  <si>
    <t>Manual form is open.</t>
  </si>
  <si>
    <t>1. Set expiry before the recorded stocked date/time.
2. Attempt save.</t>
  </si>
  <si>
    <t>Save is rejected or blocked. No invalid batch is created.</t>
  </si>
  <si>
    <t>TC-INV-006</t>
  </si>
  <si>
    <t>Quantity must be greater than zero</t>
  </si>
  <si>
    <t>1. Set quantity to 0 or a negative number.
2. Attempt save.</t>
  </si>
  <si>
    <t>Save is rejected. Remaining quantity stays within 0 to initial quantity after create.</t>
  </si>
  <si>
    <t>TC-INV-007</t>
  </si>
  <si>
    <t>Optional restock rule is saved with the batch</t>
  </si>
  <si>
    <t>Form supports restock thresholds.</t>
  </si>
  <si>
    <t>1. Enable restock, set minimum and a higher target.
2. Save.
3. Open the item and Restock chip.</t>
  </si>
  <si>
    <t>Rule persists. When remaining quantity is at or below minimum, the item appears under Restock.</t>
  </si>
  <si>
    <t>TC-INV-008</t>
  </si>
  <si>
    <t>Form error from the API is visible</t>
  </si>
  <si>
    <t>Express is running; force a validation failure if possible.</t>
  </si>
  <si>
    <t>1. Submit invalid data.
2. Read the form error.</t>
  </si>
  <si>
    <t>A real error message is shown. The form does not fail silently.</t>
  </si>
  <si>
    <t>TC-REC-001</t>
  </si>
  <si>
    <t>Photo recognition</t>
  </si>
  <si>
    <t>Supported produce is recognised and prefilled</t>
  </si>
  <si>
    <t>Camera/gallery available; photo of tomato, banana, or another supported food.</t>
  </si>
  <si>
    <t>1. Capture or pick a photo.
2. Confirm the review screen.
3. Continue to the entry form without saving yet.</t>
  </si>
  <si>
    <t>Name is prefilled from recognition. Freshness maps shelf life: fresh = full preset days, semi_fresh = ceil(40%), rotten = shortest check window. Nothing is written until Save.</t>
  </si>
  <si>
    <t>TC-REC-002</t>
  </si>
  <si>
    <t>Unsupported or failed recognition falls back to manual entry</t>
  </si>
  <si>
    <t>Photo of an unsupported object, or API timeout.</t>
  </si>
  <si>
    <t>1. Submit the photo.
2. Observe the result.</t>
  </si>
  <si>
    <t>User can retake or continue to a blank/manual form. The app does not crash. Image is not stored in Supabase.</t>
  </si>
  <si>
    <t>TC-REC-003</t>
  </si>
  <si>
    <t>User can edit prefilled values before save</t>
  </si>
  <si>
    <t>Recognition returned a draft.</t>
  </si>
  <si>
    <t>1. Change name, quantity, or expiry.
2. Save.</t>
  </si>
  <si>
    <t>Saved batch uses the edited values, not the raw model output.</t>
  </si>
  <si>
    <t>TC-REC-004</t>
  </si>
  <si>
    <t>Oversized image is rejected</t>
  </si>
  <si>
    <t>Image larger than 10 MB if testable.</t>
  </si>
  <si>
    <t>1. Select an oversized file.</t>
  </si>
  <si>
    <t>Request is rejected with a size/type error. No disk write of the photo occurs on the server.</t>
  </si>
  <si>
    <t>TC-DET-001</t>
  </si>
  <si>
    <t>Inventory detail</t>
  </si>
  <si>
    <t>Quantity can be decreased and increased</t>
  </si>
  <si>
    <t>An active batch with remaining quantity 3 and initial 3.</t>
  </si>
  <si>
    <t>1. Open the item sheet.
2. Decrease to 1.
3. Increase back toward initial.</t>
  </si>
  <si>
    <t>Quantity updates immediately. Value cannot exceed initial quantity or go below 0. An inventory event is recorded.</t>
  </si>
  <si>
    <t>TC-DET-002</t>
  </si>
  <si>
    <t>Quantity 0 marks the batch consumed</t>
  </si>
  <si>
    <t>Active batch with remaining &gt; 0.</t>
  </si>
  <si>
    <t>1. Set remaining quantity to 0.
2. Return to the list.</t>
  </si>
  <si>
    <t>TC-DET-003</t>
  </si>
  <si>
    <t>Edit details updates name, storage, and expiry</t>
  </si>
  <si>
    <t>Active batch exists.</t>
  </si>
  <si>
    <t>1. Open edit.
2. Change storage zone and expiry.
3. Save.</t>
  </si>
  <si>
    <t>TC-DET-004</t>
  </si>
  <si>
    <t>Soft delete archives the batch</t>
  </si>
  <si>
    <t>1. Delete / archive from the detail sheet.
2. Refresh the fridge list.</t>
  </si>
  <si>
    <t>Item disappears from active inventory. Remaining quantity is zeroed. History is kept; it is not a hard delete.</t>
  </si>
  <si>
    <t>TC-DET-005</t>
  </si>
  <si>
    <t>Restock rule can be updated from the sheet</t>
  </si>
  <si>
    <t>Item is open.</t>
  </si>
  <si>
    <t>1. Set minimum/target.
2. Save.
3. Lower quantity to the minimum.</t>
  </si>
  <si>
    <t>needsRestock becomes true and the Restock chip includes the item.</t>
  </si>
  <si>
    <t>TC-SHOP-001</t>
  </si>
  <si>
    <t>Shopping</t>
  </si>
  <si>
    <t>Restock tab lists suggested buys</t>
  </si>
  <si>
    <t>At least one enabled restock rule with stock at or below minimum.</t>
  </si>
  <si>
    <t>1. Open Cart tab.
2. Open the Restock view.</t>
  </si>
  <si>
    <t>Suggested items match restock rules and current stock. Pull-to-refresh reloads.</t>
  </si>
  <si>
    <t>TC-SHOP-002</t>
  </si>
  <si>
    <t>Cart tab can add a manual item</t>
  </si>
  <si>
    <t>Shopping screen is open.</t>
  </si>
  <si>
    <t>1. Add an item via the shopping add sheet.
2. Confirm it appears in Cart.</t>
  </si>
  <si>
    <t>Cart item is created against the current fridge. Quantity is editable.</t>
  </si>
  <si>
    <t>TC-SHOP-003</t>
  </si>
  <si>
    <t>Cart quantity can be changed and deleted</t>
  </si>
  <si>
    <t>Cart has one item.</t>
  </si>
  <si>
    <t>1. Use − / +.
2. Type a quantity.
3. Delete the row.</t>
  </si>
  <si>
    <t>Quantity updates. Delete removes the item. Shared members see the same cart after sync.</t>
  </si>
  <si>
    <t>TC-SHOP-004</t>
  </si>
  <si>
    <t>Adding a name that already exists in the fridge warns of a duplicate</t>
  </si>
  <si>
    <t>Fridge already contains Milk; cart add flow is open.</t>
  </si>
  <si>
    <t>1. Add Milk to the cart.
2. Read the duplicate warning.</t>
  </si>
  <si>
    <t>A possible-duplicate warning is shown using current inventory names. User can still add if they choose.</t>
  </si>
  <si>
    <t>TC-SHOP-005</t>
  </si>
  <si>
    <t>Inventory peek shows what is already at home</t>
  </si>
  <si>
    <t>Fridge has inventory; shopping screen is open.</t>
  </si>
  <si>
    <t>1. Open inventory peek.
2. Close it.</t>
  </si>
  <si>
    <t>Current fridge stock is visible without leaving shopping. Closing returns to cart/restock.</t>
  </si>
  <si>
    <t>TC-SHOP-006</t>
  </si>
  <si>
    <t>Checkout only includes checked cart items</t>
  </si>
  <si>
    <t>Cart has two items; only one is checked.</t>
  </si>
  <si>
    <t>1. Confirm checkout button count.
2. Open checkout review.</t>
  </si>
  <si>
    <t>Checkout is offered only when at least one item is checked. Review lists only checked items. Unchecked items stay in the cart and are not stocked.</t>
  </si>
  <si>
    <t>TC-SHOP-007</t>
  </si>
  <si>
    <t>Shopping add sheet reuses the same method picker</t>
  </si>
  <si>
    <t>Shopping add is opened.</t>
  </si>
  <si>
    <t>1. Inspect manual vs photo options.</t>
  </si>
  <si>
    <t>The shared AddItemMethodSheet is used. Layout matches fridge add (no arrows; Recommended on its own top row).</t>
  </si>
  <si>
    <t>TC-SHOP-008</t>
  </si>
  <si>
    <t>Checked checkout items can be stocked into the fridge</t>
  </si>
  <si>
    <t>One cart item is checked.</t>
  </si>
  <si>
    <t>1. Open checkout.
2. Complete InventoryEntryFlow for that item.
3. Open Fridge.</t>
  </si>
  <si>
    <t>The stocked item becomes an inventory batch and is removed from the cart. Fridge list updates.</t>
  </si>
  <si>
    <t>TC-SHOP-009</t>
  </si>
  <si>
    <t>Leaving checkout with unstocked checked items prompts first</t>
  </si>
  <si>
    <t>Checkout is open with at least one checked item not yet stocked.</t>
  </si>
  <si>
    <t>1. Attempt to close checkout.
2. Choose stay, then leave anyway.</t>
  </si>
  <si>
    <t>A leave prompt appears. Stay keeps the review open. Leave anyway closes it without stocking remaining items.</t>
  </si>
  <si>
    <t>TC-NOT-001</t>
  </si>
  <si>
    <t>Notifications</t>
  </si>
  <si>
    <t>Opening the inbox syncs expiring, expired, and restock events</t>
  </si>
  <si>
    <t>Fridge has an expiring item, an expired item, and a restock-needed item.</t>
  </si>
  <si>
    <t>1. Open the mailbox/inbox.</t>
  </si>
  <si>
    <t>Notifications are generated from live stock. Types include expiring, expired, and restock. No duplicate rows for the same batch/type (dedupe_key).</t>
  </si>
  <si>
    <t>TC-NOT-002</t>
  </si>
  <si>
    <t>Expiring notification uses the same 3-day window</t>
  </si>
  <si>
    <t>Item expires in 2 days; another expires in 5 days.</t>
  </si>
  <si>
    <t>1. Open inbox.
2. Compare with fridge Expiring.</t>
  </si>
  <si>
    <t>Only the 2-day item creates an expiring notification. The 5-day item does not.</t>
  </si>
  <si>
    <t>TC-NOT-003</t>
  </si>
  <si>
    <t>Mark as read is per device</t>
  </si>
  <si>
    <t>Two devices in the same shared fridge, or simulate two device IDs.</t>
  </si>
  <si>
    <t>1. On device A, mark a notification read.
2. Open inbox on device B.</t>
  </si>
  <si>
    <t>Device A shows it read. Device B still shows unread. Home badge on each device is independent.</t>
  </si>
  <si>
    <t>TC-NOT-004</t>
  </si>
  <si>
    <t>Opening a notification marks it read and updates counts</t>
  </si>
  <si>
    <t>At least one unread notification; badges enabled.</t>
  </si>
  <si>
    <t>1. Open the inbox.
2. Tap an unread row.
3. Close the detail sheet and return Home.</t>
  </si>
  <si>
    <t>A detail sheet shows localised title, body, and time. The row becomes read. unreadCount and badgeCount decrease. Home orange badge updates.</t>
  </si>
  <si>
    <t>TC-NOT-005</t>
  </si>
  <si>
    <t>Archived batches do not keep active inventory notifications visible</t>
  </si>
  <si>
    <t>A notification exists for a batch that is then archived.</t>
  </si>
  <si>
    <t>1. Archive the related item.
2. Reopen inbox.</t>
  </si>
  <si>
    <t>Notifications tied to inactive batches are filtered out of the visible list.</t>
  </si>
  <si>
    <t>TC-NOT-006</t>
  </si>
  <si>
    <t>Inbox refresh and empty/error states work</t>
  </si>
  <si>
    <t>Notification page is open.</t>
  </si>
  <si>
    <t>1. Pull/tap refresh.
2. If possible, stop the API and refresh.
3. Restore API on an empty fridge.</t>
  </si>
  <si>
    <t>Refresh reloads the snapshot. Failure shows a retry empty state. A fridge with no events shows the empty copy, not a crash.</t>
  </si>
  <si>
    <t>TC-NOT-007</t>
  </si>
  <si>
    <t>Shared inventory events appear for other members only</t>
  </si>
  <si>
    <t>Devices A and B share a fridge. Both have shared notifications enabled.</t>
  </si>
  <si>
    <t>1. On A, add, edit, or remove an item.
2. Open B's inbox.
3. Open A's inbox.</t>
  </si>
  <si>
    <t>B receives a shared notification with A's nickname and the food name. A does not receive a shared event for their own action. Expiring/expired/restock sync still runs from live stock.</t>
  </si>
  <si>
    <t>TC-NOT-008</t>
  </si>
  <si>
    <t>Category switches hide types from the inbox list</t>
  </si>
  <si>
    <t>Inbox contains expiring and restock items.</t>
  </si>
  <si>
    <t>1. In Me &gt; Notifications, turn off freshness (expiring/expired).
2. Reopen the inbox.</t>
  </si>
  <si>
    <t>Expiring/expired rows disappear. Restock remains if that switch is on. Turning the master switch off hides reminder history types according to server filtering. History is not marked read.</t>
  </si>
  <si>
    <t>TC-NOT-009</t>
  </si>
  <si>
    <t>Tapping a system notification opens the matching inbox item</t>
  </si>
  <si>
    <t>A scheduled/local or push notification with screen=notifications is delivered.</t>
  </si>
  <si>
    <t>1. Tap the OS notification card.</t>
  </si>
  <si>
    <t>The app opens the notification centre and, when an id is present, auto-opens that item.</t>
  </si>
  <si>
    <t>TC-SHR-001</t>
  </si>
  <si>
    <t>Sharing</t>
  </si>
  <si>
    <t>Personal fridge can be named and switched to shared</t>
  </si>
  <si>
    <t>Device is on a personal fridge.</t>
  </si>
  <si>
    <t>1. Open the fridge space menu.
2. Create / enable a household fridge with a custom name.</t>
  </si>
  <si>
    <t>Current fridge becomes shared (not a second container). An active invite code is generated.</t>
  </si>
  <si>
    <t>TC-SHR-002</t>
  </si>
  <si>
    <t>Invite code can be copied, shared, and shown as QR</t>
  </si>
  <si>
    <t>Fridge is shared.</t>
  </si>
  <si>
    <t>1. Open the share page.
2. Copy code, system-share, and display QR.</t>
  </si>
  <si>
    <t>Code and QR represent the current active invite. Regenerating revokes the old code.</t>
  </si>
  <si>
    <t>TC-SHR-003</t>
  </si>
  <si>
    <t>Second personal device can join with a valid code</t>
  </si>
  <si>
    <t>Device B is a single-member personal fridge with some inventory.</t>
  </si>
  <si>
    <t>1. On B, join using A's active code.
2. Open Fridge on both devices.</t>
  </si>
  <si>
    <t>Context returns the current invite plus member nicknames, avatar tokens, and order. Real device_id values are not shown. B's personal data merges into A's fridge. Same-name batches stay independent. Both devices see merged inventory.</t>
  </si>
  <si>
    <t>TC-SHR-004</t>
  </si>
  <si>
    <t>Join fails with distinct errors for expired, used, revoked, and missing codes</t>
  </si>
  <si>
    <t>Prepare expired, used, revoked, and random codes.</t>
  </si>
  <si>
    <t>1. Attempt join with each code.</t>
  </si>
  <si>
    <t>UI shows the matching message: expired, used, revoked, or not found/invalid. It does not collapse all failures into one generic error.</t>
  </si>
  <si>
    <t>TC-SHR-005</t>
  </si>
  <si>
    <t>Owner leaving takes only their owned active batches</t>
  </si>
  <si>
    <t>Shared fridge with items owned by A and B.</t>
  </si>
  <si>
    <t>1. Device A leaves.
2. Check A's new personal fridge and B's remaining household fridge.</t>
  </si>
  <si>
    <t>A receives a new personal fridge with batches it owns. B keeps other members' items, achievements, and historical batches.</t>
  </si>
  <si>
    <t>TC-SHR-006</t>
  </si>
  <si>
    <t>Fridge can be renamed in shared mode</t>
  </si>
  <si>
    <t>Shared fridge is active.</t>
  </si>
  <si>
    <t>1. Rename the fridge.
2. Recheck the header on both devices.</t>
  </si>
  <si>
    <t>The new name is visible to members after refresh/sync.</t>
  </si>
  <si>
    <t>TC-SHR-007</t>
  </si>
  <si>
    <t>Shared notifications use the actor nickname, not device id</t>
  </si>
  <si>
    <t>Device A has display name 'Alex'. Device B is a member.</t>
  </si>
  <si>
    <t>1. A adds an item.
2. Read B's shared notification copy.</t>
  </si>
  <si>
    <t>The title uses Alex (or the current language fallback actor) and the food name. It does not expose the raw device_id.</t>
  </si>
  <si>
    <t>TC-PRF-001</t>
  </si>
  <si>
    <t>Profile</t>
  </si>
  <si>
    <t>Me tab loads device nickname and fridge summary</t>
  </si>
  <si>
    <t>Device is bootstrapped.</t>
  </si>
  <si>
    <t>1. Open Me.
2. Read greeting and fridge line.</t>
  </si>
  <si>
    <t>Greeting uses the saved display name (default if unset). Fridge line shows personal or shared name and member count. Avatar is a product token/colour, not a user photo.</t>
  </si>
  <si>
    <t>TC-PRF-002</t>
  </si>
  <si>
    <t>Nickname can be edited between 1 and 32 characters</t>
  </si>
  <si>
    <t>Profile edit modal is available.</t>
  </si>
  <si>
    <t>1. Open edit profile.
2. Save a valid 1–32 character name.
3. Attempt empty or 33+ characters.</t>
  </si>
  <si>
    <t>Valid names persist via PATCH /api/profile and appear in greeting and shared notifications. Invalid lengths are rejected.</t>
  </si>
  <si>
    <t>TC-PRF-003</t>
  </si>
  <si>
    <t>Taste preferences remain a non-persisting placeholder</t>
  </si>
  <si>
    <t>Me tab is open.</t>
  </si>
  <si>
    <t>1. Tap the taste/diet row.</t>
  </si>
  <si>
    <t>An informational alert is shown. No taste data is written to the server.</t>
  </si>
  <si>
    <t>TC-PRF-004</t>
  </si>
  <si>
    <t>Language settings are reachable from Me</t>
  </si>
  <si>
    <t>1. Open Language.
2. Switch English/Chinese.
3. Relaunch.</t>
  </si>
  <si>
    <t>The whole UI switches, including Home Use first / 先用. Preference persists.</t>
  </si>
  <si>
    <t>TC-PRF-005</t>
  </si>
  <si>
    <t>Notifications &amp; reminders and inbox history have separate entries</t>
  </si>
  <si>
    <t>1. Open Notifications &amp; reminders.
2. Use View notification history.
3. Return and confirm settings are still the settings page.</t>
  </si>
  <si>
    <t>Settings is a full-screen device preference page. History opens the notification centre. They are not the same screen.</t>
  </si>
  <si>
    <t>TC-PRF-006</t>
  </si>
  <si>
    <t>Recovery and privacy rows open their sheets</t>
  </si>
  <si>
    <t>1. Open device recovery.
2. Open privacy.</t>
  </si>
  <si>
    <t>Recovery shows the configured/not-configured state. Privacy content opens. Raw Device-Credential is not displayed in logs or API responses.</t>
  </si>
  <si>
    <t>TC-PREF-001</t>
  </si>
  <si>
    <t>Notification settings</t>
  </si>
  <si>
    <t>Master switch saves immediately for this device</t>
  </si>
  <si>
    <t>Me &gt; Notifications &amp; reminders is open.</t>
  </si>
  <si>
    <t>1. Toggle the master reminders switch off, then on.</t>
  </si>
  <si>
    <t>PATCH /api/notification-preferences succeeds. Delivery and type switches disable while master is off. Preference is device-scoped, not fridge-scoped.</t>
  </si>
  <si>
    <t>TC-PREF-002</t>
  </si>
  <si>
    <t>Home badge switch zeroes badgeCount without marking items read</t>
  </si>
  <si>
    <t>Unread notifications exist.</t>
  </si>
  <si>
    <t>1. Disable home badges.
2. Check Home and GET /api/notifications.</t>
  </si>
  <si>
    <t>badgeCount is 0 and the orange home number is hidden. unreadCount stays &gt; 0. Inbox rows remain unread.</t>
  </si>
  <si>
    <t>TC-PREF-003</t>
  </si>
  <si>
    <t>Quiet hours hide the home badge during the window</t>
  </si>
  <si>
    <t>Badges enabled; unread items exist.</t>
  </si>
  <si>
    <t>1. Enable quiet hours covering the current time.
2. Check Home.
3. Set the window so now is outside it.</t>
  </si>
  <si>
    <t>During quiet hours badgeCount is 0. Inbox history is unchanged. After the window the badge returns if unread items remain.</t>
  </si>
  <si>
    <t>TC-PREF-004</t>
  </si>
  <si>
    <t>System delivery requests OS permission before enabling</t>
  </si>
  <si>
    <t>System notifications were previously off.</t>
  </si>
  <si>
    <t>1. Turn on system delivery.
2. Deny OS permission, then allow it from Settings.</t>
  </si>
  <si>
    <t>Deny keeps systemDeliveryEnabled false and offers OS settings. Allow enables delivery. Expo Go may grant local reminders without a remote push token.</t>
  </si>
  <si>
    <t>TC-PREF-005</t>
  </si>
  <si>
    <t>Type switches filter expiring, restock, shared, and system independently</t>
  </si>
  <si>
    <t>Each type can be produced in the inbox.</t>
  </si>
  <si>
    <t>1. Toggle shared off.
2. Toggle restock off.
3. Reload inbox.</t>
  </si>
  <si>
    <t>Hidden types are omitted from the list. Other types remain. Failed saves reload the server snapshot.</t>
  </si>
  <si>
    <t>TC-PUSH-001</t>
  </si>
  <si>
    <t>System reminders</t>
  </si>
  <si>
    <t>Local expiry reminders are scheduled 3 days before expiry</t>
  </si>
  <si>
    <t>OS permission granted; master, freshness, and system delivery on; item expires in more than 3 days.</t>
  </si>
  <si>
    <t>1. Save the item.
2. Inspect scheduled local notifications if tooling allows, or wait/adjust device time in a lab.</t>
  </si>
  <si>
    <t>At most 32 upcoming dated batches get one local reminder each, timed 3 days before expiry and shifted out of quiet hours. Changing expiry or deleting the item cancels the old identifier.</t>
  </si>
  <si>
    <t>TC-PUSH-002</t>
  </si>
  <si>
    <t>Local inactivity reminder is pushed 7 days ahead on each active use</t>
  </si>
  <si>
    <t>System delivery and system category enabled.</t>
  </si>
  <si>
    <t>1. Use the app.
2. Use it again the next day.</t>
  </si>
  <si>
    <t>A single 7-day inactivity reminder is rescheduled on activity so it only fires after genuine idle time.</t>
  </si>
  <si>
    <t>TC-PUSH-003</t>
  </si>
  <si>
    <t>Remote Expo push is sent to other shared members, not the actor</t>
  </si>
  <si>
    <t>Development/production build with Expo push token (not Expo Go if token cannot be issued). Shared + system delivery on. Not in quiet hours.</t>
  </si>
  <si>
    <t>1. Member A adds an item.
2. Observe member B's OS notification.
3. Observe A.</t>
  </si>
  <si>
    <t>B may receive an Expo push. A does not. A failed push does not roll back the inventory mutation. Delivery is audited as sent/failed/suppressed.</t>
  </si>
  <si>
    <t>TC-PUSH-004</t>
  </si>
  <si>
    <t>Quiet hours and missing token suppress remote delivery</t>
  </si>
  <si>
    <t>Shared fridge; B is in quiet hours or never registered a token.</t>
  </si>
  <si>
    <t>1. A updates inventory.</t>
  </si>
  <si>
    <t>B still gets the in-app shared notification. Remote push is suppressed. Inventory write succeeds.</t>
  </si>
  <si>
    <t>TC-DEV-001</t>
  </si>
  <si>
    <t>Device recovery</t>
  </si>
  <si>
    <t>Recovery code can be viewed in settings</t>
  </si>
  <si>
    <t>1. Open device recovery settings.</t>
  </si>
  <si>
    <t>A one-time recovery code (or the current code state) is available. The raw Device-Credential is not printed in logs or API responses.</t>
  </si>
  <si>
    <t>TC-DEV-002</t>
  </si>
  <si>
    <t>Successful recovery transfers ownership and revokes the old device</t>
  </si>
  <si>
    <t>Old device has inventory; new device has the recovery code.</t>
  </si>
  <si>
    <t>1. Recover onto the new device.
2. Use the old device afterwards.</t>
  </si>
  <si>
    <t>Ownership, membership, and notification reads move to the new device. Old credential is revoked. Recovery code rotates.</t>
  </si>
  <si>
    <t>TC-DEV-003</t>
  </si>
  <si>
    <t>Wrong recovery code is limited and rejected</t>
  </si>
  <si>
    <t>New device recovery screen.</t>
  </si>
  <si>
    <t>1. Enter an incorrect code several times.</t>
  </si>
  <si>
    <t>Requests fail without transferring data. Repeated failures are limited.</t>
  </si>
  <si>
    <t>TC-I18N-001</t>
  </si>
  <si>
    <t>Language</t>
  </si>
  <si>
    <t>Interface language can switch between Chinese and English</t>
  </si>
  <si>
    <t>Me &gt; Language is available.</t>
  </si>
  <si>
    <t>1. Switch to English.
2. Inspect Home, Fridge, Add sheet, Inbox, and Profile.
3. Switch back to Chinese.</t>
  </si>
  <si>
    <t>All user-facing strings update, including Use first / 先用, notification copy, and add-item labels. Preference persists after relaunch.</t>
  </si>
  <si>
    <t>TC-I18N-002</t>
  </si>
  <si>
    <t>Filters keep working after a language change</t>
  </si>
  <si>
    <t>Expiring filter is selected.</t>
  </si>
  <si>
    <t>1. Apply Expiring.
2. Switch language.</t>
  </si>
  <si>
    <t>The same internal filter remains selected. Only labels change.</t>
  </si>
  <si>
    <t>TC-SYNC-001</t>
  </si>
  <si>
    <t>Sync</t>
  </si>
  <si>
    <t>Shared inventory change appears on the other member without reopening the app</t>
  </si>
  <si>
    <t>Two devices in one shared fridge; both on Fridge or Home.</t>
  </si>
  <si>
    <t>1. Device A adds or archives an item.
2. Watch device B.</t>
  </si>
  <si>
    <t>B silently refreshes. Home expiring count and fridge list stay consistent. No business records are sent over Broadcast, only version invalidation.</t>
  </si>
  <si>
    <t>TC-SYNC-002</t>
  </si>
  <si>
    <t>Returning to foreground refreshes home and fridge data</t>
  </si>
  <si>
    <t>App was backgrounded; inventory changed on another device or via API.</t>
  </si>
  <si>
    <t>1. Background the app.
2. Change stock elsewhere.
3. Foreground the app.</t>
  </si>
  <si>
    <t>Home count, fridge list, cart, and notifications catch up after the foreground probe.</t>
  </si>
  <si>
    <t>TC-SYNC-003</t>
  </si>
  <si>
    <t>Health check drives the connection status copy</t>
  </si>
  <si>
    <t>Express can be started and stopped.</t>
  </si>
  <si>
    <t>1. With API up, launch Home/placeholder connection text if visible.
2. Stop Express and retry a data screen.</t>
  </si>
  <si>
    <t>Connected vs unavailable messaging is honest. Fridge/home counts fail softly rather than showing stale sample data as truth.</t>
  </si>
  <si>
    <t>TC-SYNC-004</t>
  </si>
  <si>
    <t>API requires Device-ID and Device-Credential</t>
  </si>
  <si>
    <t>curl or HTTP client against Express.</t>
  </si>
  <si>
    <t>1. GET /api/inventory without headers.
2. Repeat with only Device-ID.</t>
  </si>
  <si>
    <t>Unauthorised requests are rejected. Inventory is never returned to an unauthenticated caller.</t>
  </si>
  <si>
    <t>TC-SYNC-005</t>
  </si>
  <si>
    <t>GET /api/health does not require device auth</t>
  </si>
  <si>
    <t>Express is running.</t>
  </si>
  <si>
    <t>1. GET /api/health.</t>
  </si>
  <si>
    <t>Returns { status: ok, database: connected } when Supabase is reachable.</t>
  </si>
  <si>
    <t>KitchMemo Test Report</t>
  </si>
  <si>
    <t>Fill the Status column on Test Cases. Totals on this sheet update automatically.</t>
  </si>
  <si>
    <t>1. Document information</t>
  </si>
  <si>
    <t>Product</t>
  </si>
  <si>
    <t>KitchMemo</t>
  </si>
  <si>
    <t>Version</t>
  </si>
  <si>
    <t>1.0.0 (Expo app + Express API + Supabase)</t>
  </si>
  <si>
    <t>Test round</t>
  </si>
  <si>
    <t>Functional test of currently implemented MVP features</t>
  </si>
  <si>
    <t>Test date</t>
  </si>
  <si>
    <t>2026-09-03</t>
  </si>
  <si>
    <t>Tester(s)</t>
  </si>
  <si>
    <t>Environment</t>
  </si>
  <si>
    <t>Physical Android/iOS device or Expo Go; Express on LAN; development Supabase project</t>
  </si>
  <si>
    <t>Build notes</t>
  </si>
  <si>
    <t>Chinese is the default UI language. English is switched from Me &gt; Language. Recipes stay paused. Profile/Me is in the tab bar; Wins/achievements is still hidden.</t>
  </si>
  <si>
    <t>In scope</t>
  </si>
  <si>
    <t>Onboarding, home 3D kitchen, freshness prompt, fridge inventory, add/manual/photo/AI preset, item detail, shopping checkout of checked items, in-app notifications, shared inventory events, device profile nickname, notification preferences, local expiry/inactivity reminders, Expo push to other members, sharing, device recovery, i18n, sync.</t>
  </si>
  <si>
    <t>Out of scope</t>
  </si>
  <si>
    <t>Achievements API, category management API, explicit discard action, recipe discovery as a destination, Expo push receipt polling, user-uploaded avatars, persisted taste/diet preferences.</t>
  </si>
  <si>
    <t>2. Execution summary</t>
  </si>
  <si>
    <t>Metric</t>
  </si>
  <si>
    <t>Count</t>
  </si>
  <si>
    <t>Total cases</t>
  </si>
  <si>
    <t>All designed cases in this workbook</t>
  </si>
  <si>
    <t>Executed</t>
  </si>
  <si>
    <t>Pass + Fail</t>
  </si>
  <si>
    <t>Pass</t>
  </si>
  <si>
    <t>Behaviour matches expected result</t>
  </si>
  <si>
    <t>Fail</t>
  </si>
  <si>
    <t>Defect confirmed</t>
  </si>
  <si>
    <t>Blocked</t>
  </si>
  <si>
    <t>Cannot run due to environment or dependency</t>
  </si>
  <si>
    <t>Not executed</t>
  </si>
  <si>
    <t>Blank status counts as not executed</t>
  </si>
  <si>
    <t>N/A</t>
  </si>
  <si>
    <t>Not applicable in this environment</t>
  </si>
  <si>
    <t>Pass rate</t>
  </si>
  <si>
    <t>Pass / Executed</t>
  </si>
  <si>
    <t>3. Coverage by module</t>
  </si>
  <si>
    <t>Total</t>
  </si>
  <si>
    <t>4. Result distribution (chart data)</t>
  </si>
  <si>
    <t>Result</t>
  </si>
  <si>
    <t>5. Findings and sign-off</t>
  </si>
  <si>
    <t>Critical defects</t>
  </si>
  <si>
    <t>Major defects</t>
  </si>
  <si>
    <t>Minor defects / UI polish</t>
  </si>
  <si>
    <t>Overall conclusion</t>
  </si>
  <si>
    <t>Ready for course demo / Needs retest / Not ready  (choose one after execution)</t>
  </si>
  <si>
    <t>Tester sign-off</t>
  </si>
  <si>
    <t>Name:                    Date:</t>
  </si>
  <si>
    <t>Reviewer sign-off</t>
  </si>
  <si>
    <t xml:space="preserve">The opener finishes, the 3D kitchen appears, and the app is interactive. </t>
  </si>
  <si>
    <t>The journey only appears on first launch.</t>
  </si>
  <si>
    <t>Smoothly back to the previous pages.</t>
  </si>
  <si>
    <t>The inventory load successfully.</t>
  </si>
  <si>
    <t xml:space="preserve">Home, Cart, Fridge, and Me (profile) are shown. </t>
  </si>
  <si>
    <t>All features implemented are shown.</t>
  </si>
  <si>
    <t>Jump to My Fridge Page. No filter chip is pre-selected.</t>
  </si>
  <si>
    <t>Click the 3D model cart, jump into the Cart screen.</t>
  </si>
  <si>
    <t>All unexpired messages are shown.</t>
  </si>
  <si>
    <t>Recommend recipe was not implemented. Nothing would show on the screen.</t>
  </si>
  <si>
    <t>The count shown in the Home Screen is same as the expiring chip count.</t>
  </si>
  <si>
    <t>Expiring items shown are the left days &lt;= 3.</t>
  </si>
  <si>
    <t>Headline shows Use first in a larger type size. Tap still opens fridge with the Expiring chip selected (empty list is allowed).</t>
  </si>
  <si>
    <t>Click Use First, jump into expiring chip selected.</t>
  </si>
  <si>
    <t xml:space="preserve">Home count is 1. Expiring chip is 1. Expired chip includes the yesterday item. </t>
  </si>
  <si>
    <t>Undated item won’t be shown in the expired or expireing list.</t>
  </si>
  <si>
    <t>The mail icon can still show an unread glyph from unreadCount</t>
  </si>
  <si>
    <t>The background of 3D model in Home page will change by the clock.</t>
  </si>
  <si>
    <t>A full notification centre page opens.</t>
  </si>
  <si>
    <t>Active batches appear with name, quantity, storage, and freshness.</t>
  </si>
  <si>
    <t>Won't show as filtered again, showing all the ingredients in the fridge list.</t>
  </si>
  <si>
    <t>Search tomato, list only tomato in the current list.</t>
  </si>
  <si>
    <t>When I chosen veg, only tomato shown in the list.</t>
  </si>
  <si>
    <t>The assistant's answer is correct based on the reality.</t>
  </si>
  <si>
    <t>Add item by manual entry or photo recognition is shown.</t>
  </si>
  <si>
    <t>All elemetns are shown clearly in the cards.</t>
  </si>
  <si>
    <t>Manual Entry success.</t>
  </si>
  <si>
    <t>Take a photo of tomato, recognize successfully, and add this item into the inventory.</t>
  </si>
  <si>
    <t>Create two cards of milk, the are sperated.</t>
  </si>
  <si>
    <t>Give me a helpful suggestion for longer storage and generate proper icon for the item.</t>
  </si>
  <si>
    <t>A reusable global preset and icon are generated. The form stays editable</t>
  </si>
  <si>
    <t>Exceed the requests limit, the manual entry still work.</t>
  </si>
  <si>
    <t>Input the epxire date is same as stock date, save is rejected.</t>
  </si>
  <si>
    <t>The expire date can not be setted before stock date.</t>
  </si>
  <si>
    <t>The quantity has to be setted.</t>
  </si>
  <si>
    <t>When the quantity is at or below the min value, the item will show in the restock.</t>
  </si>
  <si>
    <t>Form will not fail.</t>
  </si>
  <si>
    <t>Invalid input is forbidden.</t>
  </si>
  <si>
    <t>Food Recognition works.</t>
  </si>
  <si>
    <t>Return unsupported item prompt.</t>
  </si>
  <si>
    <t>Edit the value, and saved.</t>
  </si>
  <si>
    <t>The quantity can not be increased over initial value or decreased below 0.</t>
  </si>
  <si>
    <t>Batch lifecycle becomes consumed and it is deleted from the list.</t>
  </si>
  <si>
    <t>After run out of all the eggs, the egg item deleted from list.</t>
  </si>
  <si>
    <t>List card reflects the new storage and freshness.</t>
  </si>
  <si>
    <t>After editing the item, new freshness and expiry shown in the list.</t>
  </si>
  <si>
    <t>The deleted item still store in the backend database.</t>
  </si>
  <si>
    <t>Restock item show in the suggested column, press add then add into the cart.</t>
  </si>
  <si>
    <t>The cart item is created and quantity is editable.</t>
  </si>
  <si>
    <t>This function will be implemented in iteration 2.</t>
  </si>
  <si>
    <t>The duplicate warning is shown eye-catching way.</t>
  </si>
  <si>
    <t>Notifcation shown in the mailbox.</t>
  </si>
  <si>
    <t>Only 2-day item show in the notification.</t>
  </si>
  <si>
    <t>After read the notifications, the unread Count and badgeCount dcrease.</t>
  </si>
  <si>
    <t>Tomato item deleted, but the restock notification is still there.</t>
  </si>
  <si>
    <t>Did not crash.</t>
  </si>
  <si>
    <t>New name is saved.</t>
  </si>
  <si>
    <t>Invalid input can not be accpeted by the app.</t>
  </si>
  <si>
    <t>The lanaguage switch is available. All context in the UI is replaced.</t>
  </si>
  <si>
    <t>The notification history is shown,</t>
  </si>
  <si>
    <t>Recovery code is shown and data &amp; privacy policy is shown.</t>
  </si>
  <si>
    <t>In queit hour, notification not reminder me.</t>
  </si>
  <si>
    <t>Show the OS setting to open the permission.</t>
  </si>
  <si>
    <t>Restock and freshness is passed. Shared is in the next iteration.</t>
  </si>
  <si>
    <t>All passed.</t>
  </si>
  <si>
    <t>I change the system datetime, to activate this rule.</t>
  </si>
  <si>
    <t>All setting persists after relaunch.</t>
  </si>
  <si>
    <t>The PRD didn’t specific what happens when user do this.</t>
  </si>
  <si>
    <t>Fridge/home counts fail softly.</t>
  </si>
  <si>
    <t>The unauthenticated caller is not responded.</t>
  </si>
  <si>
    <t>The health check is working.</t>
  </si>
  <si>
    <t>Name:Guanxin Wu                    Date:3/9/2026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</si>
</sst>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8"/>
      <color rgb="FF173D31"/>
      <name val="Calibri"/>
    </font>
    <font>
      <i/>
      <sz val="11"/>
      <color rgb="FF5B6B64"/>
      <name val="Calibri"/>
    </font>
    <font>
      <b/>
      <sz val="13"/>
      <color rgb="FF173D31"/>
      <name val="Calibri"/>
    </font>
    <font>
      <b/>
      <sz val="11"/>
      <color rgb="FF173D31"/>
      <name val="Calibri"/>
    </font>
    <font>
      <b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73D31"/>
      </patternFill>
    </fill>
    <fill>
      <patternFill patternType="solid">
        <fgColor rgb="FFF7F9F7"/>
      </patternFill>
    </fill>
    <fill>
      <patternFill patternType="solid">
        <fgColor rgb="FFFDE8D8"/>
      </patternFill>
    </fill>
    <fill>
      <patternFill patternType="solid">
        <fgColor rgb="FFFFF6E5"/>
      </patternFill>
    </fill>
    <fill>
      <patternFill patternType="solid">
        <fgColor rgb="FFEAF6F1"/>
      </patternFill>
    </fill>
    <fill>
      <patternFill patternType="solid">
        <fgColor rgb="FFE8F0ED"/>
      </patternFill>
    </fill>
    <fill>
      <patternFill patternType="solid">
        <fgColor rgb="FFD9F2E4"/>
      </patternFill>
    </fill>
    <fill>
      <patternFill patternType="solid">
        <fgColor rgb="FFF8D7DA"/>
      </patternFill>
    </fill>
    <fill>
      <patternFill patternType="solid">
        <fgColor rgb="FFFCE8C8"/>
      </patternFill>
    </fill>
  </fills>
  <borders count="4">
    <border>
      <left/>
      <right/>
      <top/>
      <bottom/>
      <diagonal/>
    </border>
    <border>
      <left style="thin">
        <color rgb="FFD9E2DE"/>
      </left>
      <right style="thin">
        <color rgb="FFD9E2DE"/>
      </right>
      <top style="thin">
        <color rgb="FFD9E2DE"/>
      </top>
      <bottom style="thin">
        <color rgb="FFD9E2DE"/>
      </bottom>
      <diagonal/>
    </border>
    <border>
      <left/>
      <right/>
      <top style="thin">
        <color rgb="FFD9E2DE"/>
      </top>
      <bottom style="thin">
        <color rgb="FFD9E2DE"/>
      </bottom>
      <diagonal/>
    </border>
    <border>
      <left/>
      <right style="thin">
        <color rgb="FFD9E2DE"/>
      </right>
      <top style="thin">
        <color rgb="FFD9E2DE"/>
      </top>
      <bottom style="thin">
        <color rgb="FFD9E2DE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0" fillId="0" borderId="0" xfId="0"/>
    <xf numFmtId="0" fontId="6" fillId="7" borderId="1" xfId="0" applyFont="1" applyFill="1" applyBorder="1" applyAlignment="1">
      <alignment vertical="top" wrapText="1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/>
    <xf numFmtId="0" fontId="5" fillId="0" borderId="0" xfId="0" applyFont="1" applyAlignment="1"/>
  </cellXfs>
  <cellStyles count="1">
    <cellStyle name="Normal" xfId="0" builtinId="0"/>
  </cellStyles>
  <dxfs count="4">
    <dxf>
      <fill>
        <patternFill patternType="solid">
          <fgColor rgb="FFE9EEF1"/>
        </patternFill>
      </fill>
    </dxf>
    <dxf>
      <fill>
        <patternFill patternType="solid">
          <fgColor rgb="FFFCE8C8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9F2E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"/>
  <sheetViews>
    <sheetView workbookViewId="0">
      <pane ySplit="1" topLeftCell="A92" activePane="bottomLeft" state="frozen"/>
      <selection pane="bottomLeft" activeCell="F101" sqref="F101"/>
    </sheetView>
  </sheetViews>
  <sheetFormatPr defaultRowHeight="15" x14ac:dyDescent="0.25"/>
  <cols>
    <col min="1" max="1" width="14" customWidth="1"/>
    <col min="2" max="2" width="18" customWidth="1"/>
    <col min="3" max="3" width="42" customWidth="1"/>
    <col min="4" max="4" width="12" customWidth="1"/>
    <col min="5" max="5" width="14" customWidth="1"/>
    <col min="6" max="6" width="36" customWidth="1"/>
    <col min="7" max="8" width="48" customWidth="1"/>
    <col min="9" max="9" width="28" customWidth="1"/>
    <col min="10" max="10" width="14" customWidth="1"/>
    <col min="11" max="11" width="24" customWidth="1"/>
  </cols>
  <sheetData>
    <row r="1" spans="1:11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8" customHeight="1" x14ac:dyDescent="0.25">
      <c r="A2" s="2" t="s">
        <v>11</v>
      </c>
      <c r="B2" s="3" t="s">
        <v>12</v>
      </c>
      <c r="C2" s="3" t="s">
        <v>13</v>
      </c>
      <c r="D2" s="4" t="s">
        <v>14</v>
      </c>
      <c r="E2" s="2" t="s">
        <v>15</v>
      </c>
      <c r="F2" s="3" t="s">
        <v>16</v>
      </c>
      <c r="G2" s="3" t="s">
        <v>17</v>
      </c>
      <c r="H2" s="3" t="s">
        <v>18</v>
      </c>
      <c r="I2" s="3" t="s">
        <v>566</v>
      </c>
      <c r="J2" s="2" t="s">
        <v>541</v>
      </c>
      <c r="K2" s="3"/>
    </row>
    <row r="3" spans="1:11" ht="78" customHeight="1" x14ac:dyDescent="0.25">
      <c r="A3" s="5" t="s">
        <v>19</v>
      </c>
      <c r="B3" s="6" t="s">
        <v>12</v>
      </c>
      <c r="C3" s="6" t="s">
        <v>20</v>
      </c>
      <c r="D3" s="4" t="s">
        <v>14</v>
      </c>
      <c r="E3" s="5" t="s">
        <v>21</v>
      </c>
      <c r="F3" s="6" t="s">
        <v>22</v>
      </c>
      <c r="G3" s="6" t="s">
        <v>23</v>
      </c>
      <c r="H3" s="6" t="s">
        <v>24</v>
      </c>
      <c r="I3" s="6" t="s">
        <v>567</v>
      </c>
      <c r="J3" s="5" t="s">
        <v>541</v>
      </c>
      <c r="K3" s="6"/>
    </row>
    <row r="4" spans="1:11" ht="78" customHeight="1" x14ac:dyDescent="0.25">
      <c r="A4" s="2" t="s">
        <v>25</v>
      </c>
      <c r="B4" s="3" t="s">
        <v>12</v>
      </c>
      <c r="C4" s="3" t="s">
        <v>26</v>
      </c>
      <c r="D4" s="7" t="s">
        <v>27</v>
      </c>
      <c r="E4" s="2" t="s">
        <v>15</v>
      </c>
      <c r="F4" s="3" t="s">
        <v>28</v>
      </c>
      <c r="G4" s="3" t="s">
        <v>29</v>
      </c>
      <c r="H4" s="3" t="s">
        <v>30</v>
      </c>
      <c r="I4" s="3" t="s">
        <v>568</v>
      </c>
      <c r="J4" s="2" t="s">
        <v>541</v>
      </c>
      <c r="K4" s="3"/>
    </row>
    <row r="5" spans="1:11" ht="78" customHeight="1" x14ac:dyDescent="0.25">
      <c r="A5" s="5" t="s">
        <v>31</v>
      </c>
      <c r="B5" s="6" t="s">
        <v>12</v>
      </c>
      <c r="C5" s="6" t="s">
        <v>32</v>
      </c>
      <c r="D5" s="4" t="s">
        <v>14</v>
      </c>
      <c r="E5" s="5" t="s">
        <v>33</v>
      </c>
      <c r="F5" s="6" t="s">
        <v>34</v>
      </c>
      <c r="G5" s="6" t="s">
        <v>35</v>
      </c>
      <c r="H5" s="6" t="s">
        <v>36</v>
      </c>
      <c r="I5" s="6" t="s">
        <v>569</v>
      </c>
      <c r="J5" s="5" t="s">
        <v>541</v>
      </c>
      <c r="K5" s="6"/>
    </row>
    <row r="6" spans="1:11" ht="78" customHeight="1" x14ac:dyDescent="0.25">
      <c r="A6" s="2" t="s">
        <v>37</v>
      </c>
      <c r="B6" s="3" t="s">
        <v>38</v>
      </c>
      <c r="C6" s="3" t="s">
        <v>39</v>
      </c>
      <c r="D6" s="4" t="s">
        <v>14</v>
      </c>
      <c r="E6" s="2" t="s">
        <v>15</v>
      </c>
      <c r="F6" s="3" t="s">
        <v>40</v>
      </c>
      <c r="G6" s="3" t="s">
        <v>41</v>
      </c>
      <c r="H6" s="3" t="s">
        <v>570</v>
      </c>
      <c r="I6" s="3" t="s">
        <v>571</v>
      </c>
      <c r="J6" s="2" t="s">
        <v>541</v>
      </c>
      <c r="K6" s="3"/>
    </row>
    <row r="7" spans="1:11" ht="78" customHeight="1" x14ac:dyDescent="0.25">
      <c r="A7" s="5" t="s">
        <v>42</v>
      </c>
      <c r="B7" s="6" t="s">
        <v>38</v>
      </c>
      <c r="C7" s="6" t="s">
        <v>43</v>
      </c>
      <c r="D7" s="4" t="s">
        <v>14</v>
      </c>
      <c r="E7" s="5" t="s">
        <v>21</v>
      </c>
      <c r="F7" s="6" t="s">
        <v>44</v>
      </c>
      <c r="G7" s="6" t="s">
        <v>45</v>
      </c>
      <c r="H7" s="6" t="s">
        <v>46</v>
      </c>
      <c r="I7" s="6" t="s">
        <v>572</v>
      </c>
      <c r="J7" s="5" t="s">
        <v>541</v>
      </c>
      <c r="K7" s="6"/>
    </row>
    <row r="8" spans="1:11" ht="78" customHeight="1" x14ac:dyDescent="0.25">
      <c r="A8" s="2" t="s">
        <v>47</v>
      </c>
      <c r="B8" s="3" t="s">
        <v>38</v>
      </c>
      <c r="C8" s="3" t="s">
        <v>48</v>
      </c>
      <c r="D8" s="4" t="s">
        <v>14</v>
      </c>
      <c r="E8" s="2" t="s">
        <v>21</v>
      </c>
      <c r="F8" s="3" t="s">
        <v>49</v>
      </c>
      <c r="G8" s="3" t="s">
        <v>50</v>
      </c>
      <c r="H8" s="3" t="s">
        <v>51</v>
      </c>
      <c r="I8" s="3" t="s">
        <v>573</v>
      </c>
      <c r="J8" s="2" t="s">
        <v>541</v>
      </c>
      <c r="K8" s="3"/>
    </row>
    <row r="9" spans="1:11" ht="78" customHeight="1" x14ac:dyDescent="0.25">
      <c r="A9" s="5" t="s">
        <v>52</v>
      </c>
      <c r="B9" s="6" t="s">
        <v>38</v>
      </c>
      <c r="C9" s="6" t="s">
        <v>53</v>
      </c>
      <c r="D9" s="4" t="s">
        <v>14</v>
      </c>
      <c r="E9" s="5" t="s">
        <v>21</v>
      </c>
      <c r="F9" s="6" t="s">
        <v>49</v>
      </c>
      <c r="G9" s="6" t="s">
        <v>54</v>
      </c>
      <c r="H9" s="6" t="s">
        <v>55</v>
      </c>
      <c r="I9" s="6" t="s">
        <v>574</v>
      </c>
      <c r="J9" s="5" t="s">
        <v>541</v>
      </c>
      <c r="K9" s="6"/>
    </row>
    <row r="10" spans="1:11" ht="78" customHeight="1" x14ac:dyDescent="0.25">
      <c r="A10" s="2" t="s">
        <v>56</v>
      </c>
      <c r="B10" s="3" t="s">
        <v>38</v>
      </c>
      <c r="C10" s="3" t="s">
        <v>57</v>
      </c>
      <c r="D10" s="7" t="s">
        <v>27</v>
      </c>
      <c r="E10" s="2" t="s">
        <v>15</v>
      </c>
      <c r="F10" s="3" t="s">
        <v>49</v>
      </c>
      <c r="G10" s="3" t="s">
        <v>58</v>
      </c>
      <c r="H10" s="3" t="s">
        <v>59</v>
      </c>
      <c r="I10" s="3" t="s">
        <v>575</v>
      </c>
      <c r="J10" s="2" t="s">
        <v>541</v>
      </c>
      <c r="K10" s="3"/>
    </row>
    <row r="11" spans="1:11" ht="78" customHeight="1" x14ac:dyDescent="0.25">
      <c r="A11" s="5" t="s">
        <v>60</v>
      </c>
      <c r="B11" s="6" t="s">
        <v>38</v>
      </c>
      <c r="C11" s="6" t="s">
        <v>61</v>
      </c>
      <c r="D11" s="4" t="s">
        <v>14</v>
      </c>
      <c r="E11" s="5" t="s">
        <v>21</v>
      </c>
      <c r="F11" s="6" t="s">
        <v>62</v>
      </c>
      <c r="G11" s="6" t="s">
        <v>63</v>
      </c>
      <c r="H11" s="6" t="s">
        <v>64</v>
      </c>
      <c r="I11" s="6" t="s">
        <v>576</v>
      </c>
      <c r="J11" s="5" t="s">
        <v>541</v>
      </c>
      <c r="K11" s="6"/>
    </row>
    <row r="12" spans="1:11" ht="78" customHeight="1" x14ac:dyDescent="0.25">
      <c r="A12" s="2" t="s">
        <v>65</v>
      </c>
      <c r="B12" s="3" t="s">
        <v>38</v>
      </c>
      <c r="C12" s="3" t="s">
        <v>66</v>
      </c>
      <c r="D12" s="4" t="s">
        <v>14</v>
      </c>
      <c r="E12" s="2" t="s">
        <v>21</v>
      </c>
      <c r="F12" s="3" t="s">
        <v>67</v>
      </c>
      <c r="G12" s="3" t="s">
        <v>68</v>
      </c>
      <c r="H12" s="3" t="s">
        <v>69</v>
      </c>
      <c r="I12" s="3" t="s">
        <v>577</v>
      </c>
      <c r="J12" s="2" t="s">
        <v>541</v>
      </c>
      <c r="K12" s="3"/>
    </row>
    <row r="13" spans="1:11" ht="78" customHeight="1" x14ac:dyDescent="0.25">
      <c r="A13" s="5" t="s">
        <v>70</v>
      </c>
      <c r="B13" s="6" t="s">
        <v>38</v>
      </c>
      <c r="C13" s="6" t="s">
        <v>71</v>
      </c>
      <c r="D13" s="4" t="s">
        <v>14</v>
      </c>
      <c r="E13" s="5" t="s">
        <v>21</v>
      </c>
      <c r="F13" s="6" t="s">
        <v>72</v>
      </c>
      <c r="G13" s="6" t="s">
        <v>73</v>
      </c>
      <c r="H13" s="6" t="s">
        <v>578</v>
      </c>
      <c r="I13" s="6" t="s">
        <v>579</v>
      </c>
      <c r="J13" s="5" t="s">
        <v>541</v>
      </c>
      <c r="K13" s="6"/>
    </row>
    <row r="14" spans="1:11" ht="78" customHeight="1" x14ac:dyDescent="0.25">
      <c r="A14" s="2" t="s">
        <v>74</v>
      </c>
      <c r="B14" s="3" t="s">
        <v>38</v>
      </c>
      <c r="C14" s="3" t="s">
        <v>75</v>
      </c>
      <c r="D14" s="4" t="s">
        <v>14</v>
      </c>
      <c r="E14" s="2" t="s">
        <v>21</v>
      </c>
      <c r="F14" s="3" t="s">
        <v>76</v>
      </c>
      <c r="G14" s="3" t="s">
        <v>77</v>
      </c>
      <c r="H14" s="3" t="s">
        <v>78</v>
      </c>
      <c r="I14" s="3" t="s">
        <v>580</v>
      </c>
      <c r="J14" s="2" t="s">
        <v>541</v>
      </c>
      <c r="K14" s="3"/>
    </row>
    <row r="15" spans="1:11" ht="78" customHeight="1" x14ac:dyDescent="0.25">
      <c r="A15" s="5" t="s">
        <v>79</v>
      </c>
      <c r="B15" s="6" t="s">
        <v>38</v>
      </c>
      <c r="C15" s="6" t="s">
        <v>80</v>
      </c>
      <c r="D15" s="7" t="s">
        <v>27</v>
      </c>
      <c r="E15" s="5" t="s">
        <v>21</v>
      </c>
      <c r="F15" s="6" t="s">
        <v>81</v>
      </c>
      <c r="G15" s="6" t="s">
        <v>82</v>
      </c>
      <c r="H15" s="6" t="s">
        <v>83</v>
      </c>
      <c r="I15" s="6" t="s">
        <v>581</v>
      </c>
      <c r="J15" s="5" t="s">
        <v>541</v>
      </c>
      <c r="K15" s="6"/>
    </row>
    <row r="16" spans="1:11" ht="78" customHeight="1" x14ac:dyDescent="0.25">
      <c r="A16" s="2" t="s">
        <v>84</v>
      </c>
      <c r="B16" s="3" t="s">
        <v>38</v>
      </c>
      <c r="C16" s="3" t="s">
        <v>85</v>
      </c>
      <c r="D16" s="4" t="s">
        <v>14</v>
      </c>
      <c r="E16" s="2" t="s">
        <v>21</v>
      </c>
      <c r="F16" s="3" t="s">
        <v>86</v>
      </c>
      <c r="G16" s="3" t="s">
        <v>87</v>
      </c>
      <c r="H16" s="3" t="s">
        <v>88</v>
      </c>
      <c r="I16" s="3" t="s">
        <v>582</v>
      </c>
      <c r="J16" s="2" t="s">
        <v>541</v>
      </c>
      <c r="K16" s="3"/>
    </row>
    <row r="17" spans="1:11" ht="78" customHeight="1" x14ac:dyDescent="0.25">
      <c r="A17" s="5" t="s">
        <v>89</v>
      </c>
      <c r="B17" s="6" t="s">
        <v>38</v>
      </c>
      <c r="C17" s="6" t="s">
        <v>90</v>
      </c>
      <c r="D17" s="8" t="s">
        <v>91</v>
      </c>
      <c r="E17" s="5" t="s">
        <v>15</v>
      </c>
      <c r="F17" s="6" t="s">
        <v>92</v>
      </c>
      <c r="G17" s="6" t="s">
        <v>93</v>
      </c>
      <c r="H17" s="6" t="s">
        <v>94</v>
      </c>
      <c r="I17" s="6" t="s">
        <v>583</v>
      </c>
      <c r="J17" s="5" t="s">
        <v>541</v>
      </c>
      <c r="K17" s="6"/>
    </row>
    <row r="18" spans="1:11" ht="78" customHeight="1" x14ac:dyDescent="0.25">
      <c r="A18" s="2" t="s">
        <v>95</v>
      </c>
      <c r="B18" s="3" t="s">
        <v>38</v>
      </c>
      <c r="C18" s="3" t="s">
        <v>96</v>
      </c>
      <c r="D18" s="4" t="s">
        <v>14</v>
      </c>
      <c r="E18" s="2" t="s">
        <v>21</v>
      </c>
      <c r="F18" s="3" t="s">
        <v>49</v>
      </c>
      <c r="G18" s="3" t="s">
        <v>97</v>
      </c>
      <c r="H18" s="3" t="s">
        <v>98</v>
      </c>
      <c r="I18" s="3" t="s">
        <v>584</v>
      </c>
      <c r="J18" s="2" t="s">
        <v>541</v>
      </c>
      <c r="K18" s="3"/>
    </row>
    <row r="19" spans="1:11" ht="78" customHeight="1" x14ac:dyDescent="0.25">
      <c r="A19" s="5" t="s">
        <v>99</v>
      </c>
      <c r="B19" s="6" t="s">
        <v>100</v>
      </c>
      <c r="C19" s="6" t="s">
        <v>101</v>
      </c>
      <c r="D19" s="4" t="s">
        <v>14</v>
      </c>
      <c r="E19" s="5" t="s">
        <v>21</v>
      </c>
      <c r="F19" s="6" t="s">
        <v>102</v>
      </c>
      <c r="G19" s="6" t="s">
        <v>103</v>
      </c>
      <c r="H19" s="6" t="s">
        <v>104</v>
      </c>
      <c r="I19" s="6" t="s">
        <v>585</v>
      </c>
      <c r="J19" s="5" t="s">
        <v>541</v>
      </c>
      <c r="K19" s="6"/>
    </row>
    <row r="20" spans="1:11" ht="78" customHeight="1" x14ac:dyDescent="0.25">
      <c r="A20" s="2" t="s">
        <v>105</v>
      </c>
      <c r="B20" s="3" t="s">
        <v>100</v>
      </c>
      <c r="C20" s="3" t="s">
        <v>106</v>
      </c>
      <c r="D20" s="4" t="s">
        <v>14</v>
      </c>
      <c r="E20" s="2" t="s">
        <v>21</v>
      </c>
      <c r="F20" s="3" t="s">
        <v>107</v>
      </c>
      <c r="G20" s="3" t="s">
        <v>108</v>
      </c>
      <c r="H20" s="3" t="s">
        <v>109</v>
      </c>
      <c r="I20" s="3" t="s">
        <v>586</v>
      </c>
      <c r="J20" s="2" t="s">
        <v>541</v>
      </c>
      <c r="K20" s="3"/>
    </row>
    <row r="21" spans="1:11" ht="78" customHeight="1" x14ac:dyDescent="0.25">
      <c r="A21" s="5" t="s">
        <v>110</v>
      </c>
      <c r="B21" s="6" t="s">
        <v>100</v>
      </c>
      <c r="C21" s="6" t="s">
        <v>111</v>
      </c>
      <c r="D21" s="7" t="s">
        <v>27</v>
      </c>
      <c r="E21" s="5" t="s">
        <v>21</v>
      </c>
      <c r="F21" s="6" t="s">
        <v>112</v>
      </c>
      <c r="G21" s="6" t="s">
        <v>113</v>
      </c>
      <c r="H21" s="6" t="s">
        <v>114</v>
      </c>
      <c r="I21" s="6" t="s">
        <v>587</v>
      </c>
      <c r="J21" s="5" t="s">
        <v>541</v>
      </c>
      <c r="K21" s="6"/>
    </row>
    <row r="22" spans="1:11" ht="78" customHeight="1" x14ac:dyDescent="0.25">
      <c r="A22" s="2" t="s">
        <v>115</v>
      </c>
      <c r="B22" s="3" t="s">
        <v>100</v>
      </c>
      <c r="C22" s="3" t="s">
        <v>116</v>
      </c>
      <c r="D22" s="4" t="s">
        <v>14</v>
      </c>
      <c r="E22" s="2" t="s">
        <v>21</v>
      </c>
      <c r="F22" s="3" t="s">
        <v>117</v>
      </c>
      <c r="G22" s="3" t="s">
        <v>118</v>
      </c>
      <c r="H22" s="3" t="s">
        <v>119</v>
      </c>
      <c r="I22" s="3" t="s">
        <v>119</v>
      </c>
      <c r="J22" s="2" t="s">
        <v>541</v>
      </c>
      <c r="K22" s="3"/>
    </row>
    <row r="23" spans="1:11" ht="78" customHeight="1" x14ac:dyDescent="0.25">
      <c r="A23" s="5" t="s">
        <v>120</v>
      </c>
      <c r="B23" s="6" t="s">
        <v>100</v>
      </c>
      <c r="C23" s="6" t="s">
        <v>121</v>
      </c>
      <c r="D23" s="4" t="s">
        <v>14</v>
      </c>
      <c r="E23" s="5" t="s">
        <v>21</v>
      </c>
      <c r="F23" s="6" t="s">
        <v>122</v>
      </c>
      <c r="G23" s="6" t="s">
        <v>123</v>
      </c>
      <c r="H23" s="6" t="s">
        <v>124</v>
      </c>
      <c r="I23" s="6" t="s">
        <v>124</v>
      </c>
      <c r="J23" s="5" t="s">
        <v>541</v>
      </c>
      <c r="K23" s="6"/>
    </row>
    <row r="24" spans="1:11" ht="78" customHeight="1" x14ac:dyDescent="0.25">
      <c r="A24" s="2" t="s">
        <v>125</v>
      </c>
      <c r="B24" s="3" t="s">
        <v>100</v>
      </c>
      <c r="C24" s="3" t="s">
        <v>126</v>
      </c>
      <c r="D24" s="4" t="s">
        <v>14</v>
      </c>
      <c r="E24" s="2" t="s">
        <v>21</v>
      </c>
      <c r="F24" s="3" t="s">
        <v>127</v>
      </c>
      <c r="G24" s="3" t="s">
        <v>128</v>
      </c>
      <c r="H24" s="3" t="s">
        <v>129</v>
      </c>
      <c r="I24" s="3" t="s">
        <v>129</v>
      </c>
      <c r="J24" s="2" t="s">
        <v>541</v>
      </c>
      <c r="K24" s="3"/>
    </row>
    <row r="25" spans="1:11" ht="78" customHeight="1" x14ac:dyDescent="0.25">
      <c r="A25" s="5" t="s">
        <v>130</v>
      </c>
      <c r="B25" s="6" t="s">
        <v>100</v>
      </c>
      <c r="C25" s="6" t="s">
        <v>131</v>
      </c>
      <c r="D25" s="4" t="s">
        <v>14</v>
      </c>
      <c r="E25" s="5" t="s">
        <v>21</v>
      </c>
      <c r="F25" s="6" t="s">
        <v>132</v>
      </c>
      <c r="G25" s="6" t="s">
        <v>133</v>
      </c>
      <c r="H25" s="6" t="s">
        <v>134</v>
      </c>
      <c r="I25" s="6" t="s">
        <v>134</v>
      </c>
      <c r="J25" s="5" t="s">
        <v>541</v>
      </c>
      <c r="K25" s="6"/>
    </row>
    <row r="26" spans="1:11" ht="78" customHeight="1" x14ac:dyDescent="0.25">
      <c r="A26" s="2" t="s">
        <v>135</v>
      </c>
      <c r="B26" s="3" t="s">
        <v>100</v>
      </c>
      <c r="C26" s="3" t="s">
        <v>136</v>
      </c>
      <c r="D26" s="7" t="s">
        <v>27</v>
      </c>
      <c r="E26" s="2" t="s">
        <v>21</v>
      </c>
      <c r="F26" s="3" t="s">
        <v>137</v>
      </c>
      <c r="G26" s="3" t="s">
        <v>138</v>
      </c>
      <c r="H26" s="3" t="s">
        <v>139</v>
      </c>
      <c r="I26" s="3" t="s">
        <v>588</v>
      </c>
      <c r="J26" s="2" t="s">
        <v>541</v>
      </c>
      <c r="K26" s="3"/>
    </row>
    <row r="27" spans="1:11" ht="78" customHeight="1" x14ac:dyDescent="0.25">
      <c r="A27" s="5" t="s">
        <v>140</v>
      </c>
      <c r="B27" s="6" t="s">
        <v>100</v>
      </c>
      <c r="C27" s="6" t="s">
        <v>141</v>
      </c>
      <c r="D27" s="7" t="s">
        <v>27</v>
      </c>
      <c r="E27" s="5" t="s">
        <v>15</v>
      </c>
      <c r="F27" s="6" t="s">
        <v>142</v>
      </c>
      <c r="G27" s="6" t="s">
        <v>143</v>
      </c>
      <c r="H27" s="6" t="s">
        <v>144</v>
      </c>
      <c r="I27" s="6" t="s">
        <v>144</v>
      </c>
      <c r="J27" s="5" t="s">
        <v>541</v>
      </c>
      <c r="K27" s="6"/>
    </row>
    <row r="28" spans="1:11" ht="78" customHeight="1" x14ac:dyDescent="0.25">
      <c r="A28" s="2" t="s">
        <v>145</v>
      </c>
      <c r="B28" s="3" t="s">
        <v>100</v>
      </c>
      <c r="C28" s="3" t="s">
        <v>146</v>
      </c>
      <c r="D28" s="7" t="s">
        <v>27</v>
      </c>
      <c r="E28" s="2" t="s">
        <v>21</v>
      </c>
      <c r="F28" s="3" t="s">
        <v>147</v>
      </c>
      <c r="G28" s="3" t="s">
        <v>148</v>
      </c>
      <c r="H28" s="3" t="s">
        <v>149</v>
      </c>
      <c r="I28" s="3" t="s">
        <v>589</v>
      </c>
      <c r="J28" s="2" t="s">
        <v>541</v>
      </c>
      <c r="K28" s="3"/>
    </row>
    <row r="29" spans="1:11" ht="78" customHeight="1" x14ac:dyDescent="0.25">
      <c r="A29" s="5" t="s">
        <v>150</v>
      </c>
      <c r="B29" s="6" t="s">
        <v>151</v>
      </c>
      <c r="C29" s="6" t="s">
        <v>152</v>
      </c>
      <c r="D29" s="4" t="s">
        <v>14</v>
      </c>
      <c r="E29" s="5" t="s">
        <v>15</v>
      </c>
      <c r="F29" s="6" t="s">
        <v>153</v>
      </c>
      <c r="G29" s="6" t="s">
        <v>154</v>
      </c>
      <c r="H29" s="6" t="s">
        <v>155</v>
      </c>
      <c r="I29" s="6" t="s">
        <v>590</v>
      </c>
      <c r="J29" s="5" t="s">
        <v>541</v>
      </c>
      <c r="K29" s="6"/>
    </row>
    <row r="30" spans="1:11" ht="78" customHeight="1" x14ac:dyDescent="0.25">
      <c r="A30" s="2" t="s">
        <v>156</v>
      </c>
      <c r="B30" s="3" t="s">
        <v>151</v>
      </c>
      <c r="C30" s="3" t="s">
        <v>157</v>
      </c>
      <c r="D30" s="7" t="s">
        <v>27</v>
      </c>
      <c r="E30" s="2" t="s">
        <v>15</v>
      </c>
      <c r="F30" s="3" t="s">
        <v>158</v>
      </c>
      <c r="G30" s="3" t="s">
        <v>159</v>
      </c>
      <c r="H30" s="3" t="s">
        <v>160</v>
      </c>
      <c r="I30" s="3" t="s">
        <v>591</v>
      </c>
      <c r="J30" s="2" t="s">
        <v>541</v>
      </c>
      <c r="K30" s="3"/>
    </row>
    <row r="31" spans="1:11" ht="78" customHeight="1" x14ac:dyDescent="0.25">
      <c r="A31" s="5" t="s">
        <v>161</v>
      </c>
      <c r="B31" s="6" t="s">
        <v>151</v>
      </c>
      <c r="C31" s="6" t="s">
        <v>162</v>
      </c>
      <c r="D31" s="7" t="s">
        <v>27</v>
      </c>
      <c r="E31" s="5" t="s">
        <v>21</v>
      </c>
      <c r="F31" s="6" t="s">
        <v>158</v>
      </c>
      <c r="G31" s="6" t="s">
        <v>163</v>
      </c>
      <c r="H31" s="6" t="s">
        <v>164</v>
      </c>
      <c r="I31" s="6" t="s">
        <v>164</v>
      </c>
      <c r="J31" s="5" t="s">
        <v>541</v>
      </c>
      <c r="K31" s="6"/>
    </row>
    <row r="32" spans="1:11" ht="78" customHeight="1" x14ac:dyDescent="0.25">
      <c r="A32" s="2" t="s">
        <v>165</v>
      </c>
      <c r="B32" s="3" t="s">
        <v>151</v>
      </c>
      <c r="C32" s="3" t="s">
        <v>166</v>
      </c>
      <c r="D32" s="4" t="s">
        <v>14</v>
      </c>
      <c r="E32" s="2" t="s">
        <v>21</v>
      </c>
      <c r="F32" s="3" t="s">
        <v>158</v>
      </c>
      <c r="G32" s="3" t="s">
        <v>167</v>
      </c>
      <c r="H32" s="3" t="s">
        <v>168</v>
      </c>
      <c r="I32" s="3" t="s">
        <v>592</v>
      </c>
      <c r="J32" s="2" t="s">
        <v>541</v>
      </c>
      <c r="K32" s="3"/>
    </row>
    <row r="33" spans="1:11" ht="78" customHeight="1" x14ac:dyDescent="0.25">
      <c r="A33" s="5" t="s">
        <v>169</v>
      </c>
      <c r="B33" s="6" t="s">
        <v>151</v>
      </c>
      <c r="C33" s="6" t="s">
        <v>170</v>
      </c>
      <c r="D33" s="4" t="s">
        <v>14</v>
      </c>
      <c r="E33" s="5" t="s">
        <v>21</v>
      </c>
      <c r="F33" s="6" t="s">
        <v>171</v>
      </c>
      <c r="G33" s="6" t="s">
        <v>172</v>
      </c>
      <c r="H33" s="6" t="s">
        <v>173</v>
      </c>
      <c r="I33" s="6" t="s">
        <v>593</v>
      </c>
      <c r="J33" s="6" t="s">
        <v>541</v>
      </c>
    </row>
    <row r="34" spans="1:11" ht="78" customHeight="1" x14ac:dyDescent="0.25">
      <c r="A34" s="2" t="s">
        <v>174</v>
      </c>
      <c r="B34" s="3" t="s">
        <v>175</v>
      </c>
      <c r="C34" s="3" t="s">
        <v>176</v>
      </c>
      <c r="D34" s="4" t="s">
        <v>14</v>
      </c>
      <c r="E34" s="2" t="s">
        <v>21</v>
      </c>
      <c r="F34" s="3" t="s">
        <v>177</v>
      </c>
      <c r="G34" s="3" t="s">
        <v>178</v>
      </c>
      <c r="H34" s="3" t="s">
        <v>179</v>
      </c>
      <c r="I34" s="3" t="s">
        <v>594</v>
      </c>
      <c r="J34" s="2" t="s">
        <v>541</v>
      </c>
      <c r="K34" s="3"/>
    </row>
    <row r="35" spans="1:11" ht="78" customHeight="1" x14ac:dyDescent="0.25">
      <c r="A35" s="5" t="s">
        <v>180</v>
      </c>
      <c r="B35" s="6" t="s">
        <v>175</v>
      </c>
      <c r="C35" s="6" t="s">
        <v>181</v>
      </c>
      <c r="D35" s="4" t="s">
        <v>14</v>
      </c>
      <c r="E35" s="5" t="s">
        <v>21</v>
      </c>
      <c r="F35" s="6" t="s">
        <v>182</v>
      </c>
      <c r="G35" s="6" t="s">
        <v>183</v>
      </c>
      <c r="H35" s="6" t="s">
        <v>184</v>
      </c>
      <c r="I35" s="6" t="s">
        <v>595</v>
      </c>
      <c r="J35" s="5" t="s">
        <v>541</v>
      </c>
      <c r="K35" s="6"/>
    </row>
    <row r="36" spans="1:11" ht="78" customHeight="1" x14ac:dyDescent="0.25">
      <c r="A36" s="2" t="s">
        <v>185</v>
      </c>
      <c r="B36" s="3" t="s">
        <v>175</v>
      </c>
      <c r="C36" s="3" t="s">
        <v>186</v>
      </c>
      <c r="D36" s="4" t="s">
        <v>14</v>
      </c>
      <c r="E36" s="2" t="s">
        <v>21</v>
      </c>
      <c r="F36" s="3" t="s">
        <v>187</v>
      </c>
      <c r="G36" s="3" t="s">
        <v>188</v>
      </c>
      <c r="H36" s="3" t="s">
        <v>189</v>
      </c>
      <c r="I36" s="3" t="s">
        <v>596</v>
      </c>
      <c r="J36" s="2" t="s">
        <v>541</v>
      </c>
      <c r="K36" s="3"/>
    </row>
    <row r="37" spans="1:11" ht="78" customHeight="1" x14ac:dyDescent="0.25">
      <c r="A37" s="5" t="s">
        <v>190</v>
      </c>
      <c r="B37" s="6" t="s">
        <v>175</v>
      </c>
      <c r="C37" s="6" t="s">
        <v>191</v>
      </c>
      <c r="D37" s="7" t="s">
        <v>27</v>
      </c>
      <c r="E37" s="5" t="s">
        <v>192</v>
      </c>
      <c r="F37" s="6" t="s">
        <v>193</v>
      </c>
      <c r="G37" s="6" t="s">
        <v>194</v>
      </c>
      <c r="H37" s="6" t="s">
        <v>195</v>
      </c>
      <c r="I37" s="6" t="s">
        <v>597</v>
      </c>
      <c r="J37" s="5" t="s">
        <v>541</v>
      </c>
      <c r="K37" s="6"/>
    </row>
    <row r="38" spans="1:11" ht="78" customHeight="1" x14ac:dyDescent="0.25">
      <c r="A38" s="2" t="s">
        <v>196</v>
      </c>
      <c r="B38" s="3" t="s">
        <v>175</v>
      </c>
      <c r="C38" s="3" t="s">
        <v>197</v>
      </c>
      <c r="D38" s="7" t="s">
        <v>27</v>
      </c>
      <c r="E38" s="2" t="s">
        <v>192</v>
      </c>
      <c r="F38" s="3" t="s">
        <v>198</v>
      </c>
      <c r="G38" s="3" t="s">
        <v>199</v>
      </c>
      <c r="H38" s="3" t="s">
        <v>200</v>
      </c>
      <c r="I38" s="3" t="s">
        <v>598</v>
      </c>
      <c r="J38" s="2" t="s">
        <v>541</v>
      </c>
      <c r="K38" s="3" t="s">
        <v>599</v>
      </c>
    </row>
    <row r="39" spans="1:11" ht="78" customHeight="1" x14ac:dyDescent="0.25">
      <c r="A39" s="5" t="s">
        <v>201</v>
      </c>
      <c r="B39" s="6" t="s">
        <v>175</v>
      </c>
      <c r="C39" s="6" t="s">
        <v>202</v>
      </c>
      <c r="D39" s="7" t="s">
        <v>27</v>
      </c>
      <c r="E39" s="5" t="s">
        <v>192</v>
      </c>
      <c r="F39" s="6" t="s">
        <v>198</v>
      </c>
      <c r="G39" s="6" t="s">
        <v>203</v>
      </c>
      <c r="H39" s="6" t="s">
        <v>204</v>
      </c>
      <c r="I39" s="6" t="s">
        <v>600</v>
      </c>
      <c r="J39" s="5" t="s">
        <v>541</v>
      </c>
      <c r="K39" s="6"/>
    </row>
    <row r="40" spans="1:11" ht="78" customHeight="1" x14ac:dyDescent="0.25">
      <c r="A40" s="2" t="s">
        <v>205</v>
      </c>
      <c r="B40" s="3" t="s">
        <v>175</v>
      </c>
      <c r="C40" s="3" t="s">
        <v>206</v>
      </c>
      <c r="D40" s="7" t="s">
        <v>27</v>
      </c>
      <c r="E40" s="2" t="s">
        <v>21</v>
      </c>
      <c r="F40" s="3" t="s">
        <v>207</v>
      </c>
      <c r="G40" s="3" t="s">
        <v>208</v>
      </c>
      <c r="H40" s="3" t="s">
        <v>209</v>
      </c>
      <c r="I40" s="3" t="s">
        <v>601</v>
      </c>
      <c r="J40" s="2" t="s">
        <v>541</v>
      </c>
      <c r="K40" s="3"/>
    </row>
    <row r="41" spans="1:11" ht="78" customHeight="1" x14ac:dyDescent="0.25">
      <c r="A41" s="5" t="s">
        <v>210</v>
      </c>
      <c r="B41" s="6" t="s">
        <v>175</v>
      </c>
      <c r="C41" s="6" t="s">
        <v>211</v>
      </c>
      <c r="D41" s="7" t="s">
        <v>27</v>
      </c>
      <c r="E41" s="5" t="s">
        <v>192</v>
      </c>
      <c r="F41" s="6" t="s">
        <v>212</v>
      </c>
      <c r="G41" s="6" t="s">
        <v>213</v>
      </c>
      <c r="H41" s="6" t="s">
        <v>214</v>
      </c>
      <c r="I41" s="6" t="s">
        <v>602</v>
      </c>
      <c r="J41" s="5" t="s">
        <v>541</v>
      </c>
      <c r="K41" s="6" t="s">
        <v>603</v>
      </c>
    </row>
    <row r="42" spans="1:11" ht="78" customHeight="1" x14ac:dyDescent="0.25">
      <c r="A42" s="2" t="s">
        <v>215</v>
      </c>
      <c r="B42" s="3" t="s">
        <v>216</v>
      </c>
      <c r="C42" s="3" t="s">
        <v>217</v>
      </c>
      <c r="D42" s="4" t="s">
        <v>14</v>
      </c>
      <c r="E42" s="2" t="s">
        <v>21</v>
      </c>
      <c r="F42" s="3" t="s">
        <v>218</v>
      </c>
      <c r="G42" s="3" t="s">
        <v>219</v>
      </c>
      <c r="H42" s="3" t="s">
        <v>220</v>
      </c>
      <c r="I42" s="3" t="s">
        <v>604</v>
      </c>
      <c r="J42" s="2" t="s">
        <v>541</v>
      </c>
      <c r="K42" s="3"/>
    </row>
    <row r="43" spans="1:11" ht="78" customHeight="1" x14ac:dyDescent="0.25">
      <c r="A43" s="5" t="s">
        <v>221</v>
      </c>
      <c r="B43" s="6" t="s">
        <v>216</v>
      </c>
      <c r="C43" s="6" t="s">
        <v>222</v>
      </c>
      <c r="D43" s="4" t="s">
        <v>14</v>
      </c>
      <c r="E43" s="5" t="s">
        <v>192</v>
      </c>
      <c r="F43" s="6" t="s">
        <v>223</v>
      </c>
      <c r="G43" s="6" t="s">
        <v>224</v>
      </c>
      <c r="H43" s="6" t="s">
        <v>225</v>
      </c>
      <c r="I43" s="6" t="s">
        <v>605</v>
      </c>
      <c r="J43" s="5" t="s">
        <v>541</v>
      </c>
      <c r="K43" s="6"/>
    </row>
    <row r="44" spans="1:11" ht="78" customHeight="1" x14ac:dyDescent="0.25">
      <c r="A44" s="2" t="s">
        <v>226</v>
      </c>
      <c r="B44" s="3" t="s">
        <v>216</v>
      </c>
      <c r="C44" s="3" t="s">
        <v>227</v>
      </c>
      <c r="D44" s="4" t="s">
        <v>14</v>
      </c>
      <c r="E44" s="2" t="s">
        <v>21</v>
      </c>
      <c r="F44" s="3" t="s">
        <v>228</v>
      </c>
      <c r="G44" s="3" t="s">
        <v>229</v>
      </c>
      <c r="H44" s="3" t="s">
        <v>230</v>
      </c>
      <c r="I44" s="3" t="s">
        <v>606</v>
      </c>
      <c r="J44" s="2" t="s">
        <v>541</v>
      </c>
      <c r="K44" s="3"/>
    </row>
    <row r="45" spans="1:11" ht="78" customHeight="1" x14ac:dyDescent="0.25">
      <c r="A45" s="5" t="s">
        <v>231</v>
      </c>
      <c r="B45" s="6" t="s">
        <v>216</v>
      </c>
      <c r="C45" s="6" t="s">
        <v>232</v>
      </c>
      <c r="D45" s="8" t="s">
        <v>91</v>
      </c>
      <c r="E45" s="5" t="s">
        <v>192</v>
      </c>
      <c r="F45" s="6" t="s">
        <v>233</v>
      </c>
      <c r="G45" s="6" t="s">
        <v>234</v>
      </c>
      <c r="H45" s="6" t="s">
        <v>235</v>
      </c>
      <c r="I45" s="6"/>
      <c r="J45" s="5" t="s">
        <v>545</v>
      </c>
      <c r="K45" s="6"/>
    </row>
    <row r="46" spans="1:11" ht="78" customHeight="1" x14ac:dyDescent="0.25">
      <c r="A46" s="2" t="s">
        <v>236</v>
      </c>
      <c r="B46" s="3" t="s">
        <v>237</v>
      </c>
      <c r="C46" s="3" t="s">
        <v>238</v>
      </c>
      <c r="D46" s="4" t="s">
        <v>14</v>
      </c>
      <c r="E46" s="2" t="s">
        <v>21</v>
      </c>
      <c r="F46" s="3" t="s">
        <v>239</v>
      </c>
      <c r="G46" s="3" t="s">
        <v>240</v>
      </c>
      <c r="H46" s="3" t="s">
        <v>241</v>
      </c>
      <c r="I46" s="3" t="s">
        <v>607</v>
      </c>
      <c r="J46" s="2" t="s">
        <v>541</v>
      </c>
      <c r="K46" s="3"/>
    </row>
    <row r="47" spans="1:11" ht="78" customHeight="1" x14ac:dyDescent="0.25">
      <c r="A47" s="5" t="s">
        <v>242</v>
      </c>
      <c r="B47" s="6" t="s">
        <v>237</v>
      </c>
      <c r="C47" s="6" t="s">
        <v>243</v>
      </c>
      <c r="D47" s="4" t="s">
        <v>14</v>
      </c>
      <c r="E47" s="5" t="s">
        <v>21</v>
      </c>
      <c r="F47" s="6" t="s">
        <v>244</v>
      </c>
      <c r="G47" s="6" t="s">
        <v>245</v>
      </c>
      <c r="H47" s="6" t="s">
        <v>608</v>
      </c>
      <c r="I47" s="6" t="s">
        <v>609</v>
      </c>
      <c r="J47" s="5" t="s">
        <v>541</v>
      </c>
      <c r="K47" s="6"/>
    </row>
    <row r="48" spans="1:11" ht="78" customHeight="1" x14ac:dyDescent="0.25">
      <c r="A48" s="2" t="s">
        <v>246</v>
      </c>
      <c r="B48" s="3" t="s">
        <v>237</v>
      </c>
      <c r="C48" s="3" t="s">
        <v>247</v>
      </c>
      <c r="D48" s="4" t="s">
        <v>14</v>
      </c>
      <c r="E48" s="2" t="s">
        <v>21</v>
      </c>
      <c r="F48" s="3" t="s">
        <v>248</v>
      </c>
      <c r="G48" s="3" t="s">
        <v>249</v>
      </c>
      <c r="H48" s="3" t="s">
        <v>610</v>
      </c>
      <c r="I48" s="3" t="s">
        <v>611</v>
      </c>
      <c r="J48" s="2" t="s">
        <v>541</v>
      </c>
      <c r="K48" s="3"/>
    </row>
    <row r="49" spans="1:11" ht="78" customHeight="1" x14ac:dyDescent="0.25">
      <c r="A49" s="5" t="s">
        <v>250</v>
      </c>
      <c r="B49" s="6" t="s">
        <v>237</v>
      </c>
      <c r="C49" s="6" t="s">
        <v>251</v>
      </c>
      <c r="D49" s="4" t="s">
        <v>14</v>
      </c>
      <c r="E49" s="5" t="s">
        <v>21</v>
      </c>
      <c r="F49" s="6" t="s">
        <v>248</v>
      </c>
      <c r="G49" s="6" t="s">
        <v>252</v>
      </c>
      <c r="H49" s="6" t="s">
        <v>253</v>
      </c>
      <c r="I49" s="6" t="s">
        <v>612</v>
      </c>
      <c r="J49" s="5" t="s">
        <v>541</v>
      </c>
      <c r="K49" s="6"/>
    </row>
    <row r="50" spans="1:11" ht="78" customHeight="1" x14ac:dyDescent="0.25">
      <c r="A50" s="2" t="s">
        <v>254</v>
      </c>
      <c r="B50" s="3" t="s">
        <v>237</v>
      </c>
      <c r="C50" s="3" t="s">
        <v>255</v>
      </c>
      <c r="D50" s="7" t="s">
        <v>27</v>
      </c>
      <c r="E50" s="2" t="s">
        <v>21</v>
      </c>
      <c r="F50" s="3" t="s">
        <v>256</v>
      </c>
      <c r="G50" s="3" t="s">
        <v>257</v>
      </c>
      <c r="H50" s="3" t="s">
        <v>258</v>
      </c>
      <c r="I50" s="3" t="s">
        <v>258</v>
      </c>
      <c r="J50" s="2" t="s">
        <v>541</v>
      </c>
      <c r="K50" s="3"/>
    </row>
    <row r="51" spans="1:11" ht="78" customHeight="1" x14ac:dyDescent="0.25">
      <c r="A51" s="5" t="s">
        <v>259</v>
      </c>
      <c r="B51" s="6" t="s">
        <v>260</v>
      </c>
      <c r="C51" s="6" t="s">
        <v>261</v>
      </c>
      <c r="D51" s="4" t="s">
        <v>14</v>
      </c>
      <c r="E51" s="5" t="s">
        <v>21</v>
      </c>
      <c r="F51" s="6" t="s">
        <v>262</v>
      </c>
      <c r="G51" s="6" t="s">
        <v>263</v>
      </c>
      <c r="H51" s="6" t="s">
        <v>264</v>
      </c>
      <c r="I51" s="6" t="s">
        <v>613</v>
      </c>
      <c r="J51" s="5" t="s">
        <v>541</v>
      </c>
      <c r="K51" s="6"/>
    </row>
    <row r="52" spans="1:11" ht="78" customHeight="1" x14ac:dyDescent="0.25">
      <c r="A52" s="2" t="s">
        <v>265</v>
      </c>
      <c r="B52" s="3" t="s">
        <v>260</v>
      </c>
      <c r="C52" s="3" t="s">
        <v>266</v>
      </c>
      <c r="D52" s="4" t="s">
        <v>14</v>
      </c>
      <c r="E52" s="2" t="s">
        <v>21</v>
      </c>
      <c r="F52" s="3" t="s">
        <v>267</v>
      </c>
      <c r="G52" s="3" t="s">
        <v>268</v>
      </c>
      <c r="H52" s="3" t="s">
        <v>269</v>
      </c>
      <c r="I52" s="3" t="s">
        <v>614</v>
      </c>
      <c r="J52" s="2" t="s">
        <v>541</v>
      </c>
      <c r="K52" s="3"/>
    </row>
    <row r="53" spans="1:11" ht="78" customHeight="1" x14ac:dyDescent="0.25">
      <c r="A53" s="5" t="s">
        <v>270</v>
      </c>
      <c r="B53" s="6" t="s">
        <v>260</v>
      </c>
      <c r="C53" s="6" t="s">
        <v>271</v>
      </c>
      <c r="D53" s="4" t="s">
        <v>14</v>
      </c>
      <c r="E53" s="5" t="s">
        <v>21</v>
      </c>
      <c r="F53" s="6" t="s">
        <v>272</v>
      </c>
      <c r="G53" s="6" t="s">
        <v>273</v>
      </c>
      <c r="H53" s="6" t="s">
        <v>274</v>
      </c>
      <c r="I53" s="6"/>
      <c r="J53" s="5" t="s">
        <v>545</v>
      </c>
      <c r="K53" s="6" t="s">
        <v>615</v>
      </c>
    </row>
    <row r="54" spans="1:11" ht="78" customHeight="1" x14ac:dyDescent="0.25">
      <c r="A54" s="2" t="s">
        <v>275</v>
      </c>
      <c r="B54" s="3" t="s">
        <v>260</v>
      </c>
      <c r="C54" s="3" t="s">
        <v>276</v>
      </c>
      <c r="D54" s="4" t="s">
        <v>14</v>
      </c>
      <c r="E54" s="2" t="s">
        <v>21</v>
      </c>
      <c r="F54" s="3" t="s">
        <v>277</v>
      </c>
      <c r="G54" s="3" t="s">
        <v>278</v>
      </c>
      <c r="H54" s="3" t="s">
        <v>279</v>
      </c>
      <c r="I54" s="3" t="s">
        <v>616</v>
      </c>
      <c r="J54" s="2" t="s">
        <v>541</v>
      </c>
      <c r="K54" s="3"/>
    </row>
    <row r="55" spans="1:11" ht="78" customHeight="1" x14ac:dyDescent="0.25">
      <c r="A55" s="5" t="s">
        <v>280</v>
      </c>
      <c r="B55" s="6" t="s">
        <v>260</v>
      </c>
      <c r="C55" s="6" t="s">
        <v>281</v>
      </c>
      <c r="D55" s="7" t="s">
        <v>27</v>
      </c>
      <c r="E55" s="5" t="s">
        <v>21</v>
      </c>
      <c r="F55" s="6" t="s">
        <v>282</v>
      </c>
      <c r="G55" s="6" t="s">
        <v>283</v>
      </c>
      <c r="H55" s="6" t="s">
        <v>284</v>
      </c>
      <c r="I55" s="6" t="s">
        <v>284</v>
      </c>
      <c r="J55" s="5" t="s">
        <v>541</v>
      </c>
      <c r="K55" s="6"/>
    </row>
    <row r="56" spans="1:11" ht="78" customHeight="1" x14ac:dyDescent="0.25">
      <c r="A56" s="2" t="s">
        <v>285</v>
      </c>
      <c r="B56" s="3" t="s">
        <v>260</v>
      </c>
      <c r="C56" s="3" t="s">
        <v>286</v>
      </c>
      <c r="D56" s="4" t="s">
        <v>14</v>
      </c>
      <c r="E56" s="2" t="s">
        <v>21</v>
      </c>
      <c r="F56" s="3" t="s">
        <v>287</v>
      </c>
      <c r="G56" s="3" t="s">
        <v>288</v>
      </c>
      <c r="H56" s="3" t="s">
        <v>289</v>
      </c>
      <c r="I56" s="3"/>
      <c r="J56" s="2" t="s">
        <v>545</v>
      </c>
      <c r="K56" s="6" t="s">
        <v>615</v>
      </c>
    </row>
    <row r="57" spans="1:11" ht="78" customHeight="1" x14ac:dyDescent="0.25">
      <c r="A57" s="5" t="s">
        <v>290</v>
      </c>
      <c r="B57" s="6" t="s">
        <v>260</v>
      </c>
      <c r="C57" s="6" t="s">
        <v>291</v>
      </c>
      <c r="D57" s="7" t="s">
        <v>27</v>
      </c>
      <c r="E57" s="5" t="s">
        <v>15</v>
      </c>
      <c r="F57" s="6" t="s">
        <v>292</v>
      </c>
      <c r="G57" s="6" t="s">
        <v>293</v>
      </c>
      <c r="H57" s="6" t="s">
        <v>294</v>
      </c>
      <c r="I57" s="6"/>
      <c r="J57" s="5" t="s">
        <v>545</v>
      </c>
      <c r="K57" s="6" t="s">
        <v>615</v>
      </c>
    </row>
    <row r="58" spans="1:11" ht="78" customHeight="1" x14ac:dyDescent="0.25">
      <c r="A58" s="2" t="s">
        <v>295</v>
      </c>
      <c r="B58" s="3" t="s">
        <v>260</v>
      </c>
      <c r="C58" s="3" t="s">
        <v>296</v>
      </c>
      <c r="D58" s="4" t="s">
        <v>14</v>
      </c>
      <c r="E58" s="2" t="s">
        <v>21</v>
      </c>
      <c r="F58" s="3" t="s">
        <v>297</v>
      </c>
      <c r="G58" s="3" t="s">
        <v>298</v>
      </c>
      <c r="H58" s="3" t="s">
        <v>299</v>
      </c>
      <c r="I58" s="3"/>
      <c r="J58" s="2" t="s">
        <v>545</v>
      </c>
      <c r="K58" s="6" t="s">
        <v>615</v>
      </c>
    </row>
    <row r="59" spans="1:11" ht="78" customHeight="1" x14ac:dyDescent="0.25">
      <c r="A59" s="5" t="s">
        <v>300</v>
      </c>
      <c r="B59" s="6" t="s">
        <v>260</v>
      </c>
      <c r="C59" s="6" t="s">
        <v>301</v>
      </c>
      <c r="D59" s="4" t="s">
        <v>14</v>
      </c>
      <c r="E59" s="5" t="s">
        <v>21</v>
      </c>
      <c r="F59" s="6" t="s">
        <v>302</v>
      </c>
      <c r="G59" s="6" t="s">
        <v>303</v>
      </c>
      <c r="H59" s="6" t="s">
        <v>304</v>
      </c>
      <c r="I59" s="6"/>
      <c r="J59" s="5" t="s">
        <v>545</v>
      </c>
      <c r="K59" s="6" t="s">
        <v>615</v>
      </c>
    </row>
    <row r="60" spans="1:11" ht="78" customHeight="1" x14ac:dyDescent="0.25">
      <c r="A60" s="2" t="s">
        <v>305</v>
      </c>
      <c r="B60" s="3" t="s">
        <v>306</v>
      </c>
      <c r="C60" s="3" t="s">
        <v>307</v>
      </c>
      <c r="D60" s="4" t="s">
        <v>14</v>
      </c>
      <c r="E60" s="2" t="s">
        <v>21</v>
      </c>
      <c r="F60" s="3" t="s">
        <v>308</v>
      </c>
      <c r="G60" s="3" t="s">
        <v>309</v>
      </c>
      <c r="H60" s="3" t="s">
        <v>310</v>
      </c>
      <c r="I60" s="3" t="s">
        <v>617</v>
      </c>
      <c r="J60" s="2" t="s">
        <v>541</v>
      </c>
      <c r="K60" s="3"/>
    </row>
    <row r="61" spans="1:11" ht="78" customHeight="1" x14ac:dyDescent="0.25">
      <c r="A61" s="5" t="s">
        <v>311</v>
      </c>
      <c r="B61" s="6" t="s">
        <v>306</v>
      </c>
      <c r="C61" s="6" t="s">
        <v>312</v>
      </c>
      <c r="D61" s="4" t="s">
        <v>14</v>
      </c>
      <c r="E61" s="5" t="s">
        <v>21</v>
      </c>
      <c r="F61" s="6" t="s">
        <v>313</v>
      </c>
      <c r="G61" s="6" t="s">
        <v>314</v>
      </c>
      <c r="H61" s="6" t="s">
        <v>315</v>
      </c>
      <c r="I61" s="6" t="s">
        <v>618</v>
      </c>
      <c r="J61" s="5" t="s">
        <v>541</v>
      </c>
      <c r="K61" s="6"/>
    </row>
    <row r="62" spans="1:11" ht="78" customHeight="1" x14ac:dyDescent="0.25">
      <c r="A62" s="2" t="s">
        <v>316</v>
      </c>
      <c r="B62" s="3" t="s">
        <v>306</v>
      </c>
      <c r="C62" s="3" t="s">
        <v>317</v>
      </c>
      <c r="D62" s="4" t="s">
        <v>14</v>
      </c>
      <c r="E62" s="2" t="s">
        <v>21</v>
      </c>
      <c r="F62" s="3" t="s">
        <v>318</v>
      </c>
      <c r="G62" s="3" t="s">
        <v>319</v>
      </c>
      <c r="H62" s="3" t="s">
        <v>320</v>
      </c>
      <c r="I62" s="3"/>
      <c r="J62" s="2" t="s">
        <v>545</v>
      </c>
      <c r="K62" s="6" t="s">
        <v>615</v>
      </c>
    </row>
    <row r="63" spans="1:11" ht="78" customHeight="1" x14ac:dyDescent="0.25">
      <c r="A63" s="5" t="s">
        <v>321</v>
      </c>
      <c r="B63" s="6" t="s">
        <v>306</v>
      </c>
      <c r="C63" s="6" t="s">
        <v>322</v>
      </c>
      <c r="D63" s="4" t="s">
        <v>14</v>
      </c>
      <c r="E63" s="5" t="s">
        <v>21</v>
      </c>
      <c r="F63" s="6" t="s">
        <v>323</v>
      </c>
      <c r="G63" s="6" t="s">
        <v>324</v>
      </c>
      <c r="H63" s="6" t="s">
        <v>325</v>
      </c>
      <c r="I63" s="6" t="s">
        <v>619</v>
      </c>
      <c r="J63" s="5" t="s">
        <v>541</v>
      </c>
      <c r="K63" s="6"/>
    </row>
    <row r="64" spans="1:11" ht="78" customHeight="1" x14ac:dyDescent="0.25">
      <c r="A64" s="2" t="s">
        <v>326</v>
      </c>
      <c r="B64" s="3" t="s">
        <v>306</v>
      </c>
      <c r="C64" s="3" t="s">
        <v>327</v>
      </c>
      <c r="D64" s="7" t="s">
        <v>27</v>
      </c>
      <c r="E64" s="2" t="s">
        <v>21</v>
      </c>
      <c r="F64" s="3" t="s">
        <v>328</v>
      </c>
      <c r="G64" s="3" t="s">
        <v>329</v>
      </c>
      <c r="H64" s="3" t="s">
        <v>330</v>
      </c>
      <c r="I64" s="3" t="s">
        <v>620</v>
      </c>
      <c r="J64" s="2" t="s">
        <v>543</v>
      </c>
      <c r="K64" s="3"/>
    </row>
    <row r="65" spans="1:11" ht="78" customHeight="1" x14ac:dyDescent="0.25">
      <c r="A65" s="5" t="s">
        <v>331</v>
      </c>
      <c r="B65" s="6" t="s">
        <v>306</v>
      </c>
      <c r="C65" s="6" t="s">
        <v>332</v>
      </c>
      <c r="D65" s="7" t="s">
        <v>27</v>
      </c>
      <c r="E65" s="5" t="s">
        <v>15</v>
      </c>
      <c r="F65" s="6" t="s">
        <v>333</v>
      </c>
      <c r="G65" s="6" t="s">
        <v>334</v>
      </c>
      <c r="H65" s="6" t="s">
        <v>335</v>
      </c>
      <c r="I65" s="6" t="s">
        <v>621</v>
      </c>
      <c r="J65" s="5" t="s">
        <v>541</v>
      </c>
      <c r="K65" s="6"/>
    </row>
    <row r="66" spans="1:11" ht="78" customHeight="1" x14ac:dyDescent="0.25">
      <c r="A66" s="2" t="s">
        <v>336</v>
      </c>
      <c r="B66" s="3" t="s">
        <v>306</v>
      </c>
      <c r="C66" s="3" t="s">
        <v>337</v>
      </c>
      <c r="D66" s="4" t="s">
        <v>14</v>
      </c>
      <c r="E66" s="2" t="s">
        <v>21</v>
      </c>
      <c r="F66" s="3" t="s">
        <v>338</v>
      </c>
      <c r="G66" s="3" t="s">
        <v>339</v>
      </c>
      <c r="H66" s="3" t="s">
        <v>340</v>
      </c>
      <c r="I66" s="3"/>
      <c r="J66" s="2" t="s">
        <v>545</v>
      </c>
      <c r="K66" s="6" t="s">
        <v>615</v>
      </c>
    </row>
    <row r="67" spans="1:11" ht="78" customHeight="1" x14ac:dyDescent="0.25">
      <c r="A67" s="5" t="s">
        <v>341</v>
      </c>
      <c r="B67" s="6" t="s">
        <v>306</v>
      </c>
      <c r="C67" s="6" t="s">
        <v>342</v>
      </c>
      <c r="D67" s="4" t="s">
        <v>14</v>
      </c>
      <c r="E67" s="5" t="s">
        <v>21</v>
      </c>
      <c r="F67" s="6" t="s">
        <v>343</v>
      </c>
      <c r="G67" s="6" t="s">
        <v>344</v>
      </c>
      <c r="H67" s="6" t="s">
        <v>345</v>
      </c>
      <c r="I67" s="6" t="s">
        <v>345</v>
      </c>
      <c r="J67" s="5" t="s">
        <v>541</v>
      </c>
      <c r="K67" s="6"/>
    </row>
    <row r="68" spans="1:11" ht="78" customHeight="1" x14ac:dyDescent="0.25">
      <c r="A68" s="2" t="s">
        <v>346</v>
      </c>
      <c r="B68" s="3" t="s">
        <v>306</v>
      </c>
      <c r="C68" s="3" t="s">
        <v>347</v>
      </c>
      <c r="D68" s="7" t="s">
        <v>27</v>
      </c>
      <c r="E68" s="2" t="s">
        <v>21</v>
      </c>
      <c r="F68" s="3" t="s">
        <v>348</v>
      </c>
      <c r="G68" s="3" t="s">
        <v>349</v>
      </c>
      <c r="H68" s="3" t="s">
        <v>350</v>
      </c>
      <c r="I68" s="3"/>
      <c r="J68" s="2"/>
      <c r="K68" s="3"/>
    </row>
    <row r="69" spans="1:11" ht="78" customHeight="1" x14ac:dyDescent="0.25">
      <c r="A69" s="5" t="s">
        <v>351</v>
      </c>
      <c r="B69" s="6" t="s">
        <v>352</v>
      </c>
      <c r="C69" s="6" t="s">
        <v>353</v>
      </c>
      <c r="D69" s="4" t="s">
        <v>14</v>
      </c>
      <c r="E69" s="5" t="s">
        <v>21</v>
      </c>
      <c r="F69" s="6" t="s">
        <v>354</v>
      </c>
      <c r="G69" s="6" t="s">
        <v>355</v>
      </c>
      <c r="H69" s="6" t="s">
        <v>356</v>
      </c>
      <c r="I69" s="6"/>
      <c r="J69" s="5" t="s">
        <v>545</v>
      </c>
      <c r="K69" s="6" t="s">
        <v>615</v>
      </c>
    </row>
    <row r="70" spans="1:11" ht="78" customHeight="1" x14ac:dyDescent="0.25">
      <c r="A70" s="2" t="s">
        <v>357</v>
      </c>
      <c r="B70" s="3" t="s">
        <v>352</v>
      </c>
      <c r="C70" s="3" t="s">
        <v>358</v>
      </c>
      <c r="D70" s="7" t="s">
        <v>27</v>
      </c>
      <c r="E70" s="2" t="s">
        <v>21</v>
      </c>
      <c r="F70" s="3" t="s">
        <v>359</v>
      </c>
      <c r="G70" s="3" t="s">
        <v>360</v>
      </c>
      <c r="H70" s="3" t="s">
        <v>361</v>
      </c>
      <c r="I70" s="3"/>
      <c r="J70" s="2" t="s">
        <v>545</v>
      </c>
      <c r="K70" s="6" t="s">
        <v>615</v>
      </c>
    </row>
    <row r="71" spans="1:11" ht="78" customHeight="1" x14ac:dyDescent="0.25">
      <c r="A71" s="5" t="s">
        <v>362</v>
      </c>
      <c r="B71" s="6" t="s">
        <v>352</v>
      </c>
      <c r="C71" s="6" t="s">
        <v>363</v>
      </c>
      <c r="D71" s="4" t="s">
        <v>14</v>
      </c>
      <c r="E71" s="5" t="s">
        <v>21</v>
      </c>
      <c r="F71" s="6" t="s">
        <v>364</v>
      </c>
      <c r="G71" s="6" t="s">
        <v>365</v>
      </c>
      <c r="H71" s="6" t="s">
        <v>366</v>
      </c>
      <c r="I71" s="6"/>
      <c r="J71" s="5" t="s">
        <v>545</v>
      </c>
      <c r="K71" s="6" t="s">
        <v>615</v>
      </c>
    </row>
    <row r="72" spans="1:11" ht="78" customHeight="1" x14ac:dyDescent="0.25">
      <c r="A72" s="2" t="s">
        <v>367</v>
      </c>
      <c r="B72" s="3" t="s">
        <v>352</v>
      </c>
      <c r="C72" s="3" t="s">
        <v>368</v>
      </c>
      <c r="D72" s="4" t="s">
        <v>14</v>
      </c>
      <c r="E72" s="2" t="s">
        <v>192</v>
      </c>
      <c r="F72" s="3" t="s">
        <v>369</v>
      </c>
      <c r="G72" s="3" t="s">
        <v>370</v>
      </c>
      <c r="H72" s="3" t="s">
        <v>371</v>
      </c>
      <c r="I72" s="3"/>
      <c r="J72" s="5" t="s">
        <v>545</v>
      </c>
      <c r="K72" s="6" t="s">
        <v>615</v>
      </c>
    </row>
    <row r="73" spans="1:11" ht="78" customHeight="1" x14ac:dyDescent="0.25">
      <c r="A73" s="5" t="s">
        <v>372</v>
      </c>
      <c r="B73" s="6" t="s">
        <v>352</v>
      </c>
      <c r="C73" s="6" t="s">
        <v>373</v>
      </c>
      <c r="D73" s="4" t="s">
        <v>14</v>
      </c>
      <c r="E73" s="5" t="s">
        <v>21</v>
      </c>
      <c r="F73" s="6" t="s">
        <v>374</v>
      </c>
      <c r="G73" s="6" t="s">
        <v>375</v>
      </c>
      <c r="H73" s="6" t="s">
        <v>376</v>
      </c>
      <c r="I73" s="6"/>
      <c r="J73" s="5" t="s">
        <v>545</v>
      </c>
      <c r="K73" s="6" t="s">
        <v>615</v>
      </c>
    </row>
    <row r="74" spans="1:11" ht="78" customHeight="1" x14ac:dyDescent="0.25">
      <c r="A74" s="2" t="s">
        <v>377</v>
      </c>
      <c r="B74" s="3" t="s">
        <v>352</v>
      </c>
      <c r="C74" s="3" t="s">
        <v>378</v>
      </c>
      <c r="D74" s="8" t="s">
        <v>91</v>
      </c>
      <c r="E74" s="2" t="s">
        <v>21</v>
      </c>
      <c r="F74" s="3" t="s">
        <v>379</v>
      </c>
      <c r="G74" s="3" t="s">
        <v>380</v>
      </c>
      <c r="H74" s="3" t="s">
        <v>381</v>
      </c>
      <c r="I74" s="3"/>
      <c r="J74" s="5" t="s">
        <v>545</v>
      </c>
      <c r="K74" s="6" t="s">
        <v>615</v>
      </c>
    </row>
    <row r="75" spans="1:11" ht="78" customHeight="1" x14ac:dyDescent="0.25">
      <c r="A75" s="5" t="s">
        <v>382</v>
      </c>
      <c r="B75" s="6" t="s">
        <v>352</v>
      </c>
      <c r="C75" s="6" t="s">
        <v>383</v>
      </c>
      <c r="D75" s="4" t="s">
        <v>14</v>
      </c>
      <c r="E75" s="5" t="s">
        <v>21</v>
      </c>
      <c r="F75" s="6" t="s">
        <v>384</v>
      </c>
      <c r="G75" s="6" t="s">
        <v>385</v>
      </c>
      <c r="H75" s="6" t="s">
        <v>386</v>
      </c>
      <c r="I75" s="6"/>
      <c r="J75" s="5" t="s">
        <v>545</v>
      </c>
      <c r="K75" s="6" t="s">
        <v>615</v>
      </c>
    </row>
    <row r="76" spans="1:11" ht="78" customHeight="1" x14ac:dyDescent="0.25">
      <c r="A76" s="2" t="s">
        <v>387</v>
      </c>
      <c r="B76" s="3" t="s">
        <v>388</v>
      </c>
      <c r="C76" s="3" t="s">
        <v>389</v>
      </c>
      <c r="D76" s="4" t="s">
        <v>14</v>
      </c>
      <c r="E76" s="2" t="s">
        <v>21</v>
      </c>
      <c r="F76" s="3" t="s">
        <v>390</v>
      </c>
      <c r="G76" s="3" t="s">
        <v>391</v>
      </c>
      <c r="H76" s="3" t="s">
        <v>392</v>
      </c>
      <c r="I76" s="3" t="s">
        <v>622</v>
      </c>
      <c r="J76" s="2" t="s">
        <v>541</v>
      </c>
      <c r="K76" s="3"/>
    </row>
    <row r="77" spans="1:11" ht="78" customHeight="1" x14ac:dyDescent="0.25">
      <c r="A77" s="5" t="s">
        <v>393</v>
      </c>
      <c r="B77" s="6" t="s">
        <v>388</v>
      </c>
      <c r="C77" s="6" t="s">
        <v>394</v>
      </c>
      <c r="D77" s="4" t="s">
        <v>14</v>
      </c>
      <c r="E77" s="5" t="s">
        <v>21</v>
      </c>
      <c r="F77" s="6" t="s">
        <v>395</v>
      </c>
      <c r="G77" s="6" t="s">
        <v>396</v>
      </c>
      <c r="H77" s="6" t="s">
        <v>397</v>
      </c>
      <c r="I77" s="6" t="s">
        <v>623</v>
      </c>
      <c r="J77" s="5" t="s">
        <v>541</v>
      </c>
      <c r="K77" s="6"/>
    </row>
    <row r="78" spans="1:11" ht="78" customHeight="1" x14ac:dyDescent="0.25">
      <c r="A78" s="2" t="s">
        <v>398</v>
      </c>
      <c r="B78" s="3" t="s">
        <v>388</v>
      </c>
      <c r="C78" s="3" t="s">
        <v>399</v>
      </c>
      <c r="D78" s="8" t="s">
        <v>91</v>
      </c>
      <c r="E78" s="2" t="s">
        <v>15</v>
      </c>
      <c r="F78" s="3" t="s">
        <v>400</v>
      </c>
      <c r="G78" s="3" t="s">
        <v>401</v>
      </c>
      <c r="H78" s="3" t="s">
        <v>402</v>
      </c>
      <c r="I78" s="3"/>
      <c r="J78" s="5" t="s">
        <v>545</v>
      </c>
      <c r="K78" s="6" t="s">
        <v>615</v>
      </c>
    </row>
    <row r="79" spans="1:11" ht="78" customHeight="1" x14ac:dyDescent="0.25">
      <c r="A79" s="5" t="s">
        <v>403</v>
      </c>
      <c r="B79" s="6" t="s">
        <v>388</v>
      </c>
      <c r="C79" s="6" t="s">
        <v>404</v>
      </c>
      <c r="D79" s="4" t="s">
        <v>14</v>
      </c>
      <c r="E79" s="5" t="s">
        <v>21</v>
      </c>
      <c r="F79" s="6" t="s">
        <v>400</v>
      </c>
      <c r="G79" s="6" t="s">
        <v>405</v>
      </c>
      <c r="H79" s="6" t="s">
        <v>406</v>
      </c>
      <c r="I79" s="6" t="s">
        <v>624</v>
      </c>
      <c r="J79" s="5" t="s">
        <v>541</v>
      </c>
      <c r="K79" s="6"/>
    </row>
    <row r="80" spans="1:11" ht="78" customHeight="1" x14ac:dyDescent="0.25">
      <c r="A80" s="2" t="s">
        <v>407</v>
      </c>
      <c r="B80" s="3" t="s">
        <v>388</v>
      </c>
      <c r="C80" s="3" t="s">
        <v>408</v>
      </c>
      <c r="D80" s="4" t="s">
        <v>14</v>
      </c>
      <c r="E80" s="2" t="s">
        <v>21</v>
      </c>
      <c r="F80" s="3" t="s">
        <v>400</v>
      </c>
      <c r="G80" s="3" t="s">
        <v>409</v>
      </c>
      <c r="H80" s="3" t="s">
        <v>410</v>
      </c>
      <c r="I80" s="3" t="s">
        <v>625</v>
      </c>
      <c r="J80" s="2" t="s">
        <v>541</v>
      </c>
      <c r="K80" s="3"/>
    </row>
    <row r="81" spans="1:11" ht="78" customHeight="1" x14ac:dyDescent="0.25">
      <c r="A81" s="5" t="s">
        <v>411</v>
      </c>
      <c r="B81" s="6" t="s">
        <v>388</v>
      </c>
      <c r="C81" s="6" t="s">
        <v>412</v>
      </c>
      <c r="D81" s="7" t="s">
        <v>27</v>
      </c>
      <c r="E81" s="5" t="s">
        <v>21</v>
      </c>
      <c r="F81" s="6" t="s">
        <v>400</v>
      </c>
      <c r="G81" s="6" t="s">
        <v>413</v>
      </c>
      <c r="H81" s="6" t="s">
        <v>414</v>
      </c>
      <c r="I81" s="6" t="s">
        <v>626</v>
      </c>
      <c r="J81" s="5" t="s">
        <v>541</v>
      </c>
      <c r="K81" s="6"/>
    </row>
    <row r="82" spans="1:11" ht="78" customHeight="1" x14ac:dyDescent="0.25">
      <c r="A82" s="2" t="s">
        <v>415</v>
      </c>
      <c r="B82" s="3" t="s">
        <v>416</v>
      </c>
      <c r="C82" s="3" t="s">
        <v>417</v>
      </c>
      <c r="D82" s="4" t="s">
        <v>14</v>
      </c>
      <c r="E82" s="2" t="s">
        <v>21</v>
      </c>
      <c r="F82" s="3" t="s">
        <v>418</v>
      </c>
      <c r="G82" s="3" t="s">
        <v>419</v>
      </c>
      <c r="H82" s="3" t="s">
        <v>420</v>
      </c>
      <c r="I82" s="3"/>
      <c r="J82" s="2" t="s">
        <v>545</v>
      </c>
      <c r="K82" s="6" t="s">
        <v>615</v>
      </c>
    </row>
    <row r="83" spans="1:11" ht="78" customHeight="1" x14ac:dyDescent="0.25">
      <c r="A83" s="5" t="s">
        <v>421</v>
      </c>
      <c r="B83" s="6" t="s">
        <v>416</v>
      </c>
      <c r="C83" s="6" t="s">
        <v>422</v>
      </c>
      <c r="D83" s="4" t="s">
        <v>14</v>
      </c>
      <c r="E83" s="5" t="s">
        <v>21</v>
      </c>
      <c r="F83" s="6" t="s">
        <v>423</v>
      </c>
      <c r="G83" s="6" t="s">
        <v>424</v>
      </c>
      <c r="H83" s="6" t="s">
        <v>425</v>
      </c>
      <c r="I83" s="6"/>
      <c r="J83" s="5" t="s">
        <v>541</v>
      </c>
      <c r="K83" s="6"/>
    </row>
    <row r="84" spans="1:11" ht="78" customHeight="1" x14ac:dyDescent="0.25">
      <c r="A84" s="2" t="s">
        <v>426</v>
      </c>
      <c r="B84" s="3" t="s">
        <v>416</v>
      </c>
      <c r="C84" s="3" t="s">
        <v>427</v>
      </c>
      <c r="D84" s="4" t="s">
        <v>14</v>
      </c>
      <c r="E84" s="2" t="s">
        <v>21</v>
      </c>
      <c r="F84" s="3" t="s">
        <v>428</v>
      </c>
      <c r="G84" s="3" t="s">
        <v>429</v>
      </c>
      <c r="H84" s="3" t="s">
        <v>430</v>
      </c>
      <c r="I84" s="3" t="s">
        <v>627</v>
      </c>
      <c r="J84" s="2" t="s">
        <v>541</v>
      </c>
      <c r="K84" s="3"/>
    </row>
    <row r="85" spans="1:11" ht="78" customHeight="1" x14ac:dyDescent="0.25">
      <c r="A85" s="5" t="s">
        <v>431</v>
      </c>
      <c r="B85" s="6" t="s">
        <v>416</v>
      </c>
      <c r="C85" s="6" t="s">
        <v>432</v>
      </c>
      <c r="D85" s="4" t="s">
        <v>14</v>
      </c>
      <c r="E85" s="5" t="s">
        <v>21</v>
      </c>
      <c r="F85" s="6" t="s">
        <v>433</v>
      </c>
      <c r="G85" s="6" t="s">
        <v>434</v>
      </c>
      <c r="H85" s="6" t="s">
        <v>435</v>
      </c>
      <c r="I85" s="6" t="s">
        <v>628</v>
      </c>
      <c r="J85" s="5" t="s">
        <v>541</v>
      </c>
      <c r="K85" s="6"/>
    </row>
    <row r="86" spans="1:11" ht="78" customHeight="1" x14ac:dyDescent="0.25">
      <c r="A86" s="2" t="s">
        <v>436</v>
      </c>
      <c r="B86" s="3" t="s">
        <v>416</v>
      </c>
      <c r="C86" s="3" t="s">
        <v>437</v>
      </c>
      <c r="D86" s="7" t="s">
        <v>27</v>
      </c>
      <c r="E86" s="2" t="s">
        <v>21</v>
      </c>
      <c r="F86" s="3" t="s">
        <v>438</v>
      </c>
      <c r="G86" s="3" t="s">
        <v>439</v>
      </c>
      <c r="H86" s="3" t="s">
        <v>440</v>
      </c>
      <c r="I86" s="3" t="s">
        <v>629</v>
      </c>
      <c r="J86" s="2" t="s">
        <v>545</v>
      </c>
      <c r="K86" s="6" t="s">
        <v>615</v>
      </c>
    </row>
    <row r="87" spans="1:11" ht="78" customHeight="1" x14ac:dyDescent="0.25">
      <c r="A87" s="5" t="s">
        <v>441</v>
      </c>
      <c r="B87" s="6" t="s">
        <v>442</v>
      </c>
      <c r="C87" s="6" t="s">
        <v>443</v>
      </c>
      <c r="D87" s="4" t="s">
        <v>14</v>
      </c>
      <c r="E87" s="5" t="s">
        <v>21</v>
      </c>
      <c r="F87" s="6" t="s">
        <v>444</v>
      </c>
      <c r="G87" s="6" t="s">
        <v>445</v>
      </c>
      <c r="H87" s="6" t="s">
        <v>446</v>
      </c>
      <c r="I87" s="6" t="s">
        <v>630</v>
      </c>
      <c r="J87" s="5" t="s">
        <v>541</v>
      </c>
      <c r="K87" s="6"/>
    </row>
    <row r="88" spans="1:11" ht="78" customHeight="1" x14ac:dyDescent="0.25">
      <c r="A88" s="2" t="s">
        <v>447</v>
      </c>
      <c r="B88" s="3" t="s">
        <v>442</v>
      </c>
      <c r="C88" s="3" t="s">
        <v>448</v>
      </c>
      <c r="D88" s="7" t="s">
        <v>27</v>
      </c>
      <c r="E88" s="2" t="s">
        <v>21</v>
      </c>
      <c r="F88" s="3" t="s">
        <v>449</v>
      </c>
      <c r="G88" s="3" t="s">
        <v>450</v>
      </c>
      <c r="H88" s="3" t="s">
        <v>451</v>
      </c>
      <c r="I88" s="3" t="s">
        <v>631</v>
      </c>
      <c r="J88" s="2" t="s">
        <v>541</v>
      </c>
      <c r="K88" s="3"/>
    </row>
    <row r="89" spans="1:11" ht="78" customHeight="1" x14ac:dyDescent="0.25">
      <c r="A89" s="5" t="s">
        <v>452</v>
      </c>
      <c r="B89" s="6" t="s">
        <v>442</v>
      </c>
      <c r="C89" s="6" t="s">
        <v>453</v>
      </c>
      <c r="D89" s="4" t="s">
        <v>14</v>
      </c>
      <c r="E89" s="5" t="s">
        <v>21</v>
      </c>
      <c r="F89" s="6" t="s">
        <v>454</v>
      </c>
      <c r="G89" s="6" t="s">
        <v>455</v>
      </c>
      <c r="H89" s="6" t="s">
        <v>456</v>
      </c>
      <c r="I89" s="6"/>
      <c r="J89" s="2" t="s">
        <v>545</v>
      </c>
      <c r="K89" s="6" t="s">
        <v>615</v>
      </c>
    </row>
    <row r="90" spans="1:11" ht="78" customHeight="1" x14ac:dyDescent="0.25">
      <c r="A90" s="2" t="s">
        <v>457</v>
      </c>
      <c r="B90" s="3" t="s">
        <v>442</v>
      </c>
      <c r="C90" s="3" t="s">
        <v>458</v>
      </c>
      <c r="D90" s="7" t="s">
        <v>27</v>
      </c>
      <c r="E90" s="2" t="s">
        <v>192</v>
      </c>
      <c r="F90" s="3" t="s">
        <v>459</v>
      </c>
      <c r="G90" s="3" t="s">
        <v>460</v>
      </c>
      <c r="H90" s="3" t="s">
        <v>461</v>
      </c>
      <c r="I90" s="3"/>
      <c r="J90" s="2" t="s">
        <v>545</v>
      </c>
      <c r="K90" s="6" t="s">
        <v>615</v>
      </c>
    </row>
    <row r="91" spans="1:11" ht="78" customHeight="1" x14ac:dyDescent="0.25">
      <c r="A91" s="5" t="s">
        <v>462</v>
      </c>
      <c r="B91" s="6" t="s">
        <v>463</v>
      </c>
      <c r="C91" s="6" t="s">
        <v>464</v>
      </c>
      <c r="D91" s="7" t="s">
        <v>27</v>
      </c>
      <c r="E91" s="5" t="s">
        <v>21</v>
      </c>
      <c r="F91" s="6" t="s">
        <v>390</v>
      </c>
      <c r="G91" s="6" t="s">
        <v>465</v>
      </c>
      <c r="H91" s="6" t="s">
        <v>466</v>
      </c>
      <c r="I91" s="6"/>
      <c r="J91" s="2" t="s">
        <v>545</v>
      </c>
      <c r="K91" s="6" t="s">
        <v>615</v>
      </c>
    </row>
    <row r="92" spans="1:11" ht="78" customHeight="1" x14ac:dyDescent="0.25">
      <c r="A92" s="2" t="s">
        <v>467</v>
      </c>
      <c r="B92" s="3" t="s">
        <v>463</v>
      </c>
      <c r="C92" s="3" t="s">
        <v>468</v>
      </c>
      <c r="D92" s="4" t="s">
        <v>14</v>
      </c>
      <c r="E92" s="2" t="s">
        <v>21</v>
      </c>
      <c r="F92" s="3" t="s">
        <v>469</v>
      </c>
      <c r="G92" s="3" t="s">
        <v>470</v>
      </c>
      <c r="H92" s="3" t="s">
        <v>471</v>
      </c>
      <c r="I92" s="3"/>
      <c r="J92" s="2" t="s">
        <v>545</v>
      </c>
      <c r="K92" s="6" t="s">
        <v>615</v>
      </c>
    </row>
    <row r="93" spans="1:11" ht="78" customHeight="1" x14ac:dyDescent="0.25">
      <c r="A93" s="5" t="s">
        <v>472</v>
      </c>
      <c r="B93" s="6" t="s">
        <v>463</v>
      </c>
      <c r="C93" s="6" t="s">
        <v>473</v>
      </c>
      <c r="D93" s="7" t="s">
        <v>27</v>
      </c>
      <c r="E93" s="5" t="s">
        <v>192</v>
      </c>
      <c r="F93" s="6" t="s">
        <v>474</v>
      </c>
      <c r="G93" s="6" t="s">
        <v>475</v>
      </c>
      <c r="H93" s="6" t="s">
        <v>476</v>
      </c>
      <c r="I93" s="6"/>
      <c r="J93" s="2" t="s">
        <v>545</v>
      </c>
      <c r="K93" s="6" t="s">
        <v>615</v>
      </c>
    </row>
    <row r="94" spans="1:11" ht="78" customHeight="1" x14ac:dyDescent="0.25">
      <c r="A94" s="2" t="s">
        <v>477</v>
      </c>
      <c r="B94" s="3" t="s">
        <v>478</v>
      </c>
      <c r="C94" s="3" t="s">
        <v>479</v>
      </c>
      <c r="D94" s="4" t="s">
        <v>14</v>
      </c>
      <c r="E94" s="2" t="s">
        <v>21</v>
      </c>
      <c r="F94" s="3" t="s">
        <v>480</v>
      </c>
      <c r="G94" s="3" t="s">
        <v>481</v>
      </c>
      <c r="H94" s="3" t="s">
        <v>482</v>
      </c>
      <c r="I94" s="3" t="s">
        <v>632</v>
      </c>
      <c r="J94" s="2" t="s">
        <v>541</v>
      </c>
      <c r="K94" s="3"/>
    </row>
    <row r="95" spans="1:11" ht="78" customHeight="1" x14ac:dyDescent="0.25">
      <c r="A95" s="5" t="s">
        <v>483</v>
      </c>
      <c r="B95" s="6" t="s">
        <v>478</v>
      </c>
      <c r="C95" s="6" t="s">
        <v>484</v>
      </c>
      <c r="D95" s="7" t="s">
        <v>27</v>
      </c>
      <c r="E95" s="5" t="s">
        <v>21</v>
      </c>
      <c r="F95" s="6" t="s">
        <v>485</v>
      </c>
      <c r="G95" s="6" t="s">
        <v>486</v>
      </c>
      <c r="H95" s="6" t="s">
        <v>487</v>
      </c>
      <c r="I95" s="6"/>
      <c r="J95" s="5" t="s">
        <v>543</v>
      </c>
      <c r="K95" s="6" t="s">
        <v>633</v>
      </c>
    </row>
    <row r="96" spans="1:11" ht="78" customHeight="1" x14ac:dyDescent="0.25">
      <c r="A96" s="2" t="s">
        <v>488</v>
      </c>
      <c r="B96" s="3" t="s">
        <v>489</v>
      </c>
      <c r="C96" s="3" t="s">
        <v>490</v>
      </c>
      <c r="D96" s="4" t="s">
        <v>14</v>
      </c>
      <c r="E96" s="2" t="s">
        <v>33</v>
      </c>
      <c r="F96" s="3" t="s">
        <v>491</v>
      </c>
      <c r="G96" s="3" t="s">
        <v>492</v>
      </c>
      <c r="H96" s="3" t="s">
        <v>493</v>
      </c>
      <c r="I96" s="3"/>
      <c r="J96" s="2" t="s">
        <v>545</v>
      </c>
      <c r="K96" s="6" t="s">
        <v>615</v>
      </c>
    </row>
    <row r="97" spans="1:11" ht="78" customHeight="1" x14ac:dyDescent="0.25">
      <c r="A97" s="5" t="s">
        <v>494</v>
      </c>
      <c r="B97" s="6" t="s">
        <v>489</v>
      </c>
      <c r="C97" s="6" t="s">
        <v>495</v>
      </c>
      <c r="D97" s="7" t="s">
        <v>27</v>
      </c>
      <c r="E97" s="5" t="s">
        <v>33</v>
      </c>
      <c r="F97" s="6" t="s">
        <v>496</v>
      </c>
      <c r="G97" s="6" t="s">
        <v>497</v>
      </c>
      <c r="H97" s="6" t="s">
        <v>498</v>
      </c>
      <c r="I97" s="6"/>
      <c r="J97" s="2" t="s">
        <v>545</v>
      </c>
      <c r="K97" s="6" t="s">
        <v>615</v>
      </c>
    </row>
    <row r="98" spans="1:11" ht="78" customHeight="1" x14ac:dyDescent="0.25">
      <c r="A98" s="2" t="s">
        <v>499</v>
      </c>
      <c r="B98" s="3" t="s">
        <v>489</v>
      </c>
      <c r="C98" s="3" t="s">
        <v>500</v>
      </c>
      <c r="D98" s="8" t="s">
        <v>91</v>
      </c>
      <c r="E98" s="2" t="s">
        <v>21</v>
      </c>
      <c r="F98" s="3" t="s">
        <v>501</v>
      </c>
      <c r="G98" s="3" t="s">
        <v>502</v>
      </c>
      <c r="H98" s="3" t="s">
        <v>503</v>
      </c>
      <c r="I98" s="3" t="s">
        <v>634</v>
      </c>
      <c r="J98" s="2" t="s">
        <v>541</v>
      </c>
      <c r="K98" s="3"/>
    </row>
    <row r="99" spans="1:11" ht="78" customHeight="1" x14ac:dyDescent="0.25">
      <c r="A99" s="5" t="s">
        <v>504</v>
      </c>
      <c r="B99" s="6" t="s">
        <v>489</v>
      </c>
      <c r="C99" s="6" t="s">
        <v>505</v>
      </c>
      <c r="D99" s="4" t="s">
        <v>14</v>
      </c>
      <c r="E99" s="5" t="s">
        <v>192</v>
      </c>
      <c r="F99" s="6" t="s">
        <v>506</v>
      </c>
      <c r="G99" s="6" t="s">
        <v>507</v>
      </c>
      <c r="H99" s="6" t="s">
        <v>508</v>
      </c>
      <c r="I99" s="6" t="s">
        <v>635</v>
      </c>
      <c r="J99" s="5" t="s">
        <v>541</v>
      </c>
      <c r="K99" s="6"/>
    </row>
    <row r="100" spans="1:11" ht="78" customHeight="1" x14ac:dyDescent="0.25">
      <c r="A100" s="2" t="s">
        <v>509</v>
      </c>
      <c r="B100" s="3" t="s">
        <v>489</v>
      </c>
      <c r="C100" s="3" t="s">
        <v>510</v>
      </c>
      <c r="D100" s="8" t="s">
        <v>91</v>
      </c>
      <c r="E100" s="2" t="s">
        <v>21</v>
      </c>
      <c r="F100" s="3" t="s">
        <v>511</v>
      </c>
      <c r="G100" s="3" t="s">
        <v>512</v>
      </c>
      <c r="H100" s="3" t="s">
        <v>513</v>
      </c>
      <c r="I100" s="3" t="s">
        <v>636</v>
      </c>
      <c r="J100" s="2" t="s">
        <v>541</v>
      </c>
      <c r="K100" s="3"/>
    </row>
  </sheetData>
  <autoFilter ref="A1:K100" xr:uid="{00000000-0009-0000-0000-000000000000}"/>
  <conditionalFormatting sqref="J2:J32 J34:J100">
    <cfRule type="expression" dxfId="3" priority="1">
      <formula>$J2="Pass"</formula>
    </cfRule>
    <cfRule type="expression" dxfId="2" priority="2">
      <formula>$J2="Fail"</formula>
    </cfRule>
    <cfRule type="expression" dxfId="1" priority="3">
      <formula>$J2="Blocked"</formula>
    </cfRule>
    <cfRule type="expression" dxfId="0" priority="4">
      <formula>OR($J2="N/A",$J2="Not executed")</formula>
    </cfRule>
  </conditionalFormatting>
  <dataValidations count="1">
    <dataValidation type="list" allowBlank="1" errorTitle="Invalid status" error="Select a status from the list" promptTitle="Status" prompt="Pass / Fail / Blocked / Not executed / N/A" sqref="J2:J100" xr:uid="{00000000-0002-0000-0000-000000000000}">
      <formula1>"Pass,Fail,Blocked,Not executed,N/A"</formula1>
    </dataValidation>
  </dataValidations>
  <pageMargins left="0.75" right="0.75" top="1" bottom="1" header="0.5" footer="0.5"/>
  <pageSetup fitToHeight="0" orientation="landscape"/>
  <headerFooter>
    <oddHeader>&amp;LKitchMemo — Test Cases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69"/>
  <sheetViews>
    <sheetView tabSelected="1" topLeftCell="A8" workbookViewId="0">
      <selection activeCell="A71" sqref="A71"/>
    </sheetView>
  </sheetViews>
  <sheetFormatPr defaultRowHeight="15" x14ac:dyDescent="0.25"/>
  <cols>
    <col min="1" max="1" width="22" customWidth="1"/>
    <col min="2" max="2" width="14" customWidth="1"/>
    <col min="3" max="3" width="18" customWidth="1"/>
    <col min="4" max="5" width="14" customWidth="1"/>
    <col min="6" max="6" width="22" customWidth="1"/>
  </cols>
  <sheetData>
    <row r="1" spans="1:6" ht="27.95" customHeight="1" x14ac:dyDescent="0.25">
      <c r="A1" s="29" t="s">
        <v>514</v>
      </c>
      <c r="B1" s="24"/>
      <c r="C1" s="24"/>
      <c r="D1" s="24"/>
      <c r="E1" s="24"/>
      <c r="F1" s="24"/>
    </row>
    <row r="2" spans="1:6" x14ac:dyDescent="0.25">
      <c r="A2" s="30" t="s">
        <v>515</v>
      </c>
      <c r="B2" s="24"/>
      <c r="C2" s="24"/>
      <c r="D2" s="24"/>
      <c r="E2" s="24"/>
      <c r="F2" s="24"/>
    </row>
    <row r="4" spans="1:6" ht="17.25" x14ac:dyDescent="0.3">
      <c r="A4" s="23" t="s">
        <v>516</v>
      </c>
      <c r="B4" s="24"/>
      <c r="C4" s="24"/>
      <c r="D4" s="24"/>
      <c r="E4" s="24"/>
      <c r="F4" s="24"/>
    </row>
    <row r="5" spans="1:6" x14ac:dyDescent="0.25">
      <c r="A5" s="25" t="s">
        <v>517</v>
      </c>
      <c r="B5" s="22"/>
      <c r="C5" s="21" t="s">
        <v>518</v>
      </c>
      <c r="D5" s="22"/>
      <c r="E5" s="22"/>
      <c r="F5" s="22"/>
    </row>
    <row r="6" spans="1:6" x14ac:dyDescent="0.25">
      <c r="A6" s="25" t="s">
        <v>519</v>
      </c>
      <c r="B6" s="22"/>
      <c r="C6" s="21" t="s">
        <v>520</v>
      </c>
      <c r="D6" s="22"/>
      <c r="E6" s="22"/>
      <c r="F6" s="22"/>
    </row>
    <row r="7" spans="1:6" x14ac:dyDescent="0.25">
      <c r="A7" s="25" t="s">
        <v>521</v>
      </c>
      <c r="B7" s="22"/>
      <c r="C7" s="21" t="s">
        <v>522</v>
      </c>
      <c r="D7" s="22"/>
      <c r="E7" s="22"/>
      <c r="F7" s="22"/>
    </row>
    <row r="8" spans="1:6" x14ac:dyDescent="0.25">
      <c r="A8" s="25" t="s">
        <v>523</v>
      </c>
      <c r="B8" s="22"/>
      <c r="C8" s="21" t="s">
        <v>524</v>
      </c>
      <c r="D8" s="22"/>
      <c r="E8" s="22"/>
      <c r="F8" s="22"/>
    </row>
    <row r="9" spans="1:6" x14ac:dyDescent="0.25">
      <c r="A9" s="25" t="s">
        <v>525</v>
      </c>
      <c r="B9" s="22"/>
      <c r="C9" s="21"/>
      <c r="D9" s="22"/>
      <c r="E9" s="22"/>
      <c r="F9" s="22"/>
    </row>
    <row r="10" spans="1:6" x14ac:dyDescent="0.25">
      <c r="A10" s="25" t="s">
        <v>526</v>
      </c>
      <c r="B10" s="22"/>
      <c r="C10" s="21" t="s">
        <v>527</v>
      </c>
      <c r="D10" s="22"/>
      <c r="E10" s="22"/>
      <c r="F10" s="22"/>
    </row>
    <row r="11" spans="1:6" x14ac:dyDescent="0.25">
      <c r="A11" s="25" t="s">
        <v>528</v>
      </c>
      <c r="B11" s="22"/>
      <c r="C11" s="21" t="s">
        <v>529</v>
      </c>
      <c r="D11" s="22"/>
      <c r="E11" s="22"/>
      <c r="F11" s="22"/>
    </row>
    <row r="12" spans="1:6" ht="48" customHeight="1" x14ac:dyDescent="0.25">
      <c r="A12" s="25" t="s">
        <v>530</v>
      </c>
      <c r="B12" s="22"/>
      <c r="C12" s="21" t="s">
        <v>531</v>
      </c>
      <c r="D12" s="22"/>
      <c r="E12" s="22"/>
      <c r="F12" s="22"/>
    </row>
    <row r="13" spans="1:6" ht="48" customHeight="1" x14ac:dyDescent="0.25">
      <c r="A13" s="25" t="s">
        <v>532</v>
      </c>
      <c r="B13" s="22"/>
      <c r="C13" s="21" t="s">
        <v>533</v>
      </c>
      <c r="D13" s="22"/>
      <c r="E13" s="22"/>
      <c r="F13" s="22"/>
    </row>
    <row r="15" spans="1:6" ht="17.25" x14ac:dyDescent="0.3">
      <c r="A15" s="23" t="s">
        <v>534</v>
      </c>
      <c r="B15" s="24"/>
      <c r="C15" s="24"/>
    </row>
    <row r="16" spans="1:6" x14ac:dyDescent="0.25">
      <c r="A16" s="1" t="s">
        <v>535</v>
      </c>
      <c r="B16" s="1" t="s">
        <v>536</v>
      </c>
      <c r="C16" s="1" t="s">
        <v>10</v>
      </c>
    </row>
    <row r="17" spans="1:6" x14ac:dyDescent="0.25">
      <c r="A17" s="9" t="s">
        <v>537</v>
      </c>
      <c r="B17" s="10">
        <f>COUNTA('Test Cases'!A2:A100)</f>
        <v>99</v>
      </c>
      <c r="C17" s="26" t="s">
        <v>538</v>
      </c>
      <c r="D17" s="27"/>
      <c r="E17" s="27"/>
      <c r="F17" s="28"/>
    </row>
    <row r="18" spans="1:6" x14ac:dyDescent="0.25">
      <c r="A18" s="9" t="s">
        <v>539</v>
      </c>
      <c r="B18" s="10">
        <f>COUNTIF('Test Cases'!$J$2:$J$100,"Pass")+COUNTIF('Test Cases'!$J$2:$J$100,"Fail")</f>
        <v>73</v>
      </c>
      <c r="C18" s="26" t="s">
        <v>540</v>
      </c>
      <c r="D18" s="27"/>
      <c r="E18" s="27"/>
      <c r="F18" s="28"/>
    </row>
    <row r="19" spans="1:6" x14ac:dyDescent="0.25">
      <c r="A19" s="9" t="s">
        <v>541</v>
      </c>
      <c r="B19" s="12">
        <f>COUNTIF('Test Cases'!$J$2:$J$100,"Pass")</f>
        <v>71</v>
      </c>
      <c r="C19" s="26" t="s">
        <v>542</v>
      </c>
      <c r="D19" s="27"/>
      <c r="E19" s="27"/>
      <c r="F19" s="28"/>
    </row>
    <row r="20" spans="1:6" x14ac:dyDescent="0.25">
      <c r="A20" s="9" t="s">
        <v>543</v>
      </c>
      <c r="B20" s="13">
        <f>COUNTIF('Test Cases'!$J$2:$J$100,"Fail")</f>
        <v>2</v>
      </c>
      <c r="C20" s="26" t="s">
        <v>544</v>
      </c>
      <c r="D20" s="27"/>
      <c r="E20" s="27"/>
      <c r="F20" s="28"/>
    </row>
    <row r="21" spans="1:6" x14ac:dyDescent="0.25">
      <c r="A21" s="9" t="s">
        <v>545</v>
      </c>
      <c r="B21" s="14">
        <f>COUNTIF('Test Cases'!$J$2:$J$100,"Blocked")</f>
        <v>25</v>
      </c>
      <c r="C21" s="26" t="s">
        <v>546</v>
      </c>
      <c r="D21" s="27"/>
      <c r="E21" s="27"/>
      <c r="F21" s="28"/>
    </row>
    <row r="22" spans="1:6" x14ac:dyDescent="0.25">
      <c r="A22" s="9" t="s">
        <v>547</v>
      </c>
      <c r="B22" s="10">
        <f>COUNTIF('Test Cases'!$J$2:$J$100,"Not executed")+COUNTBLANK('Test Cases'!$J$2:$J$100)</f>
        <v>1</v>
      </c>
      <c r="C22" s="26" t="s">
        <v>548</v>
      </c>
      <c r="D22" s="27"/>
      <c r="E22" s="27"/>
      <c r="F22" s="28"/>
    </row>
    <row r="23" spans="1:6" x14ac:dyDescent="0.25">
      <c r="A23" s="9" t="s">
        <v>549</v>
      </c>
      <c r="B23" s="10">
        <f>COUNTIF('Test Cases'!$J$2:$J$100,"N/A")</f>
        <v>0</v>
      </c>
      <c r="C23" s="26" t="s">
        <v>550</v>
      </c>
      <c r="D23" s="27"/>
      <c r="E23" s="27"/>
      <c r="F23" s="28"/>
    </row>
    <row r="24" spans="1:6" x14ac:dyDescent="0.25">
      <c r="A24" s="9" t="s">
        <v>551</v>
      </c>
      <c r="B24" s="15">
        <f>IF(B18=0,"N/A",B19/B18)</f>
        <v>0.9726027397260274</v>
      </c>
      <c r="C24" s="26" t="s">
        <v>552</v>
      </c>
      <c r="D24" s="27"/>
      <c r="E24" s="27"/>
      <c r="F24" s="28"/>
    </row>
    <row r="26" spans="1:6" ht="17.25" x14ac:dyDescent="0.3">
      <c r="A26" s="23" t="s">
        <v>553</v>
      </c>
      <c r="B26" s="24"/>
      <c r="C26" s="24"/>
      <c r="D26" s="24"/>
      <c r="E26" s="24"/>
      <c r="F26" s="24"/>
    </row>
    <row r="27" spans="1:6" x14ac:dyDescent="0.25">
      <c r="A27" s="1" t="s">
        <v>1</v>
      </c>
      <c r="B27" s="1" t="s">
        <v>554</v>
      </c>
      <c r="C27" s="1" t="s">
        <v>541</v>
      </c>
      <c r="D27" s="1" t="s">
        <v>543</v>
      </c>
      <c r="E27" s="1" t="s">
        <v>545</v>
      </c>
      <c r="F27" s="1" t="s">
        <v>547</v>
      </c>
    </row>
    <row r="28" spans="1:6" x14ac:dyDescent="0.25">
      <c r="A28" s="11" t="s">
        <v>151</v>
      </c>
      <c r="B28" s="5">
        <f>COUNTIF('Test Cases'!B:B,A28)</f>
        <v>5</v>
      </c>
      <c r="C28" s="16">
        <f>COUNTIFS('Test Cases'!B:B,A28,'Test Cases'!J:J,"Pass")</f>
        <v>5</v>
      </c>
      <c r="D28" s="17">
        <f>COUNTIFS('Test Cases'!B:B,A28,'Test Cases'!J:J,"Fail")</f>
        <v>0</v>
      </c>
      <c r="E28" s="5">
        <f>COUNTIFS('Test Cases'!B:B,A28,'Test Cases'!J:J,"Blocked")</f>
        <v>0</v>
      </c>
      <c r="F28" s="5">
        <f>COUNTIFS('Test Cases'!B:B,A28,'Test Cases'!J:J,"Not executed")+COUNTIFS('Test Cases'!B:B,A28,'Test Cases'!J:J,"")</f>
        <v>0</v>
      </c>
    </row>
    <row r="29" spans="1:6" x14ac:dyDescent="0.25">
      <c r="A29" s="11" t="s">
        <v>463</v>
      </c>
      <c r="B29" s="5">
        <f>COUNTIF('Test Cases'!B:B,A29)</f>
        <v>3</v>
      </c>
      <c r="C29" s="16">
        <f>COUNTIFS('Test Cases'!B:B,A29,'Test Cases'!J:J,"Pass")</f>
        <v>0</v>
      </c>
      <c r="D29" s="17">
        <f>COUNTIFS('Test Cases'!B:B,A29,'Test Cases'!J:J,"Fail")</f>
        <v>0</v>
      </c>
      <c r="E29" s="5">
        <f>COUNTIFS('Test Cases'!B:B,A29,'Test Cases'!J:J,"Blocked")</f>
        <v>3</v>
      </c>
      <c r="F29" s="5">
        <f>COUNTIFS('Test Cases'!B:B,A29,'Test Cases'!J:J,"Not executed")+COUNTIFS('Test Cases'!B:B,A29,'Test Cases'!J:J,"")</f>
        <v>0</v>
      </c>
    </row>
    <row r="30" spans="1:6" x14ac:dyDescent="0.25">
      <c r="A30" s="11" t="s">
        <v>100</v>
      </c>
      <c r="B30" s="5">
        <f>COUNTIF('Test Cases'!B:B,A30)</f>
        <v>10</v>
      </c>
      <c r="C30" s="16">
        <f>COUNTIFS('Test Cases'!B:B,A30,'Test Cases'!J:J,"Pass")</f>
        <v>10</v>
      </c>
      <c r="D30" s="17">
        <f>COUNTIFS('Test Cases'!B:B,A30,'Test Cases'!J:J,"Fail")</f>
        <v>0</v>
      </c>
      <c r="E30" s="5">
        <f>COUNTIFS('Test Cases'!B:B,A30,'Test Cases'!J:J,"Blocked")</f>
        <v>0</v>
      </c>
      <c r="F30" s="5">
        <f>COUNTIFS('Test Cases'!B:B,A30,'Test Cases'!J:J,"Not executed")+COUNTIFS('Test Cases'!B:B,A30,'Test Cases'!J:J,"")</f>
        <v>0</v>
      </c>
    </row>
    <row r="31" spans="1:6" x14ac:dyDescent="0.25">
      <c r="A31" s="11" t="s">
        <v>38</v>
      </c>
      <c r="B31" s="5">
        <f>COUNTIF('Test Cases'!B:B,A31)</f>
        <v>13</v>
      </c>
      <c r="C31" s="16">
        <f>COUNTIFS('Test Cases'!B:B,A31,'Test Cases'!J:J,"Pass")</f>
        <v>13</v>
      </c>
      <c r="D31" s="17">
        <f>COUNTIFS('Test Cases'!B:B,A31,'Test Cases'!J:J,"Fail")</f>
        <v>0</v>
      </c>
      <c r="E31" s="5">
        <f>COUNTIFS('Test Cases'!B:B,A31,'Test Cases'!J:J,"Blocked")</f>
        <v>0</v>
      </c>
      <c r="F31" s="5">
        <f>COUNTIFS('Test Cases'!B:B,A31,'Test Cases'!J:J,"Not executed")+COUNTIFS('Test Cases'!B:B,A31,'Test Cases'!J:J,"")</f>
        <v>0</v>
      </c>
    </row>
    <row r="32" spans="1:6" x14ac:dyDescent="0.25">
      <c r="A32" s="11" t="s">
        <v>237</v>
      </c>
      <c r="B32" s="5">
        <f>COUNTIF('Test Cases'!B:B,A32)</f>
        <v>5</v>
      </c>
      <c r="C32" s="16">
        <f>COUNTIFS('Test Cases'!B:B,A32,'Test Cases'!J:J,"Pass")</f>
        <v>5</v>
      </c>
      <c r="D32" s="17">
        <f>COUNTIFS('Test Cases'!B:B,A32,'Test Cases'!J:J,"Fail")</f>
        <v>0</v>
      </c>
      <c r="E32" s="5">
        <f>COUNTIFS('Test Cases'!B:B,A32,'Test Cases'!J:J,"Blocked")</f>
        <v>0</v>
      </c>
      <c r="F32" s="5">
        <f>COUNTIFS('Test Cases'!B:B,A32,'Test Cases'!J:J,"Not executed")+COUNTIFS('Test Cases'!B:B,A32,'Test Cases'!J:J,"")</f>
        <v>0</v>
      </c>
    </row>
    <row r="33" spans="1:6" x14ac:dyDescent="0.25">
      <c r="A33" s="11" t="s">
        <v>175</v>
      </c>
      <c r="B33" s="5">
        <f>COUNTIF('Test Cases'!B:B,A33)</f>
        <v>8</v>
      </c>
      <c r="C33" s="16">
        <f>COUNTIFS('Test Cases'!B:B,A33,'Test Cases'!J:J,"Pass")</f>
        <v>8</v>
      </c>
      <c r="D33" s="17">
        <f>COUNTIFS('Test Cases'!B:B,A33,'Test Cases'!J:J,"Fail")</f>
        <v>0</v>
      </c>
      <c r="E33" s="5">
        <f>COUNTIFS('Test Cases'!B:B,A33,'Test Cases'!J:J,"Blocked")</f>
        <v>0</v>
      </c>
      <c r="F33" s="5">
        <f>COUNTIFS('Test Cases'!B:B,A33,'Test Cases'!J:J,"Not executed")+COUNTIFS('Test Cases'!B:B,A33,'Test Cases'!J:J,"")</f>
        <v>0</v>
      </c>
    </row>
    <row r="34" spans="1:6" x14ac:dyDescent="0.25">
      <c r="A34" s="11" t="s">
        <v>478</v>
      </c>
      <c r="B34" s="5">
        <f>COUNTIF('Test Cases'!B:B,A34)</f>
        <v>2</v>
      </c>
      <c r="C34" s="16">
        <f>COUNTIFS('Test Cases'!B:B,A34,'Test Cases'!J:J,"Pass")</f>
        <v>1</v>
      </c>
      <c r="D34" s="17">
        <f>COUNTIFS('Test Cases'!B:B,A34,'Test Cases'!J:J,"Fail")</f>
        <v>1</v>
      </c>
      <c r="E34" s="5">
        <f>COUNTIFS('Test Cases'!B:B,A34,'Test Cases'!J:J,"Blocked")</f>
        <v>0</v>
      </c>
      <c r="F34" s="5">
        <f>COUNTIFS('Test Cases'!B:B,A34,'Test Cases'!J:J,"Not executed")+COUNTIFS('Test Cases'!B:B,A34,'Test Cases'!J:J,"")</f>
        <v>0</v>
      </c>
    </row>
    <row r="35" spans="1:6" x14ac:dyDescent="0.25">
      <c r="A35" s="11" t="s">
        <v>416</v>
      </c>
      <c r="B35" s="5">
        <f>COUNTIF('Test Cases'!B:B,A35)</f>
        <v>5</v>
      </c>
      <c r="C35" s="16">
        <f>COUNTIFS('Test Cases'!B:B,A35,'Test Cases'!J:J,"Pass")</f>
        <v>3</v>
      </c>
      <c r="D35" s="17">
        <f>COUNTIFS('Test Cases'!B:B,A35,'Test Cases'!J:J,"Fail")</f>
        <v>0</v>
      </c>
      <c r="E35" s="5">
        <f>COUNTIFS('Test Cases'!B:B,A35,'Test Cases'!J:J,"Blocked")</f>
        <v>2</v>
      </c>
      <c r="F35" s="5">
        <f>COUNTIFS('Test Cases'!B:B,A35,'Test Cases'!J:J,"Not executed")+COUNTIFS('Test Cases'!B:B,A35,'Test Cases'!J:J,"")</f>
        <v>0</v>
      </c>
    </row>
    <row r="36" spans="1:6" x14ac:dyDescent="0.25">
      <c r="A36" s="11" t="s">
        <v>306</v>
      </c>
      <c r="B36" s="5">
        <f>COUNTIF('Test Cases'!B:B,A36)</f>
        <v>9</v>
      </c>
      <c r="C36" s="16">
        <f>COUNTIFS('Test Cases'!B:B,A36,'Test Cases'!J:J,"Pass")</f>
        <v>5</v>
      </c>
      <c r="D36" s="17">
        <f>COUNTIFS('Test Cases'!B:B,A36,'Test Cases'!J:J,"Fail")</f>
        <v>1</v>
      </c>
      <c r="E36" s="5">
        <f>COUNTIFS('Test Cases'!B:B,A36,'Test Cases'!J:J,"Blocked")</f>
        <v>2</v>
      </c>
      <c r="F36" s="5">
        <f>COUNTIFS('Test Cases'!B:B,A36,'Test Cases'!J:J,"Not executed")+COUNTIFS('Test Cases'!B:B,A36,'Test Cases'!J:J,"")</f>
        <v>1</v>
      </c>
    </row>
    <row r="37" spans="1:6" x14ac:dyDescent="0.25">
      <c r="A37" s="11" t="s">
        <v>12</v>
      </c>
      <c r="B37" s="5">
        <f>COUNTIF('Test Cases'!B:B,A37)</f>
        <v>4</v>
      </c>
      <c r="C37" s="16">
        <f>COUNTIFS('Test Cases'!B:B,A37,'Test Cases'!J:J,"Pass")</f>
        <v>4</v>
      </c>
      <c r="D37" s="17">
        <f>COUNTIFS('Test Cases'!B:B,A37,'Test Cases'!J:J,"Fail")</f>
        <v>0</v>
      </c>
      <c r="E37" s="5">
        <f>COUNTIFS('Test Cases'!B:B,A37,'Test Cases'!J:J,"Blocked")</f>
        <v>0</v>
      </c>
      <c r="F37" s="5">
        <f>COUNTIFS('Test Cases'!B:B,A37,'Test Cases'!J:J,"Not executed")+COUNTIFS('Test Cases'!B:B,A37,'Test Cases'!J:J,"")</f>
        <v>0</v>
      </c>
    </row>
    <row r="38" spans="1:6" x14ac:dyDescent="0.25">
      <c r="A38" s="11" t="s">
        <v>216</v>
      </c>
      <c r="B38" s="5">
        <f>COUNTIF('Test Cases'!B:B,A38)</f>
        <v>4</v>
      </c>
      <c r="C38" s="16">
        <f>COUNTIFS('Test Cases'!B:B,A38,'Test Cases'!J:J,"Pass")</f>
        <v>3</v>
      </c>
      <c r="D38" s="17">
        <f>COUNTIFS('Test Cases'!B:B,A38,'Test Cases'!J:J,"Fail")</f>
        <v>0</v>
      </c>
      <c r="E38" s="5">
        <f>COUNTIFS('Test Cases'!B:B,A38,'Test Cases'!J:J,"Blocked")</f>
        <v>1</v>
      </c>
      <c r="F38" s="5">
        <f>COUNTIFS('Test Cases'!B:B,A38,'Test Cases'!J:J,"Not executed")+COUNTIFS('Test Cases'!B:B,A38,'Test Cases'!J:J,"")</f>
        <v>0</v>
      </c>
    </row>
    <row r="39" spans="1:6" x14ac:dyDescent="0.25">
      <c r="A39" s="11" t="s">
        <v>388</v>
      </c>
      <c r="B39" s="5">
        <f>COUNTIF('Test Cases'!B:B,A39)</f>
        <v>6</v>
      </c>
      <c r="C39" s="16">
        <f>COUNTIFS('Test Cases'!B:B,A39,'Test Cases'!J:J,"Pass")</f>
        <v>5</v>
      </c>
      <c r="D39" s="17">
        <f>COUNTIFS('Test Cases'!B:B,A39,'Test Cases'!J:J,"Fail")</f>
        <v>0</v>
      </c>
      <c r="E39" s="5">
        <f>COUNTIFS('Test Cases'!B:B,A39,'Test Cases'!J:J,"Blocked")</f>
        <v>1</v>
      </c>
      <c r="F39" s="5">
        <f>COUNTIFS('Test Cases'!B:B,A39,'Test Cases'!J:J,"Not executed")+COUNTIFS('Test Cases'!B:B,A39,'Test Cases'!J:J,"")</f>
        <v>0</v>
      </c>
    </row>
    <row r="40" spans="1:6" x14ac:dyDescent="0.25">
      <c r="A40" s="11" t="s">
        <v>352</v>
      </c>
      <c r="B40" s="5">
        <f>COUNTIF('Test Cases'!B:B,A40)</f>
        <v>7</v>
      </c>
      <c r="C40" s="16">
        <f>COUNTIFS('Test Cases'!B:B,A40,'Test Cases'!J:J,"Pass")</f>
        <v>0</v>
      </c>
      <c r="D40" s="17">
        <f>COUNTIFS('Test Cases'!B:B,A40,'Test Cases'!J:J,"Fail")</f>
        <v>0</v>
      </c>
      <c r="E40" s="5">
        <f>COUNTIFS('Test Cases'!B:B,A40,'Test Cases'!J:J,"Blocked")</f>
        <v>7</v>
      </c>
      <c r="F40" s="5">
        <f>COUNTIFS('Test Cases'!B:B,A40,'Test Cases'!J:J,"Not executed")+COUNTIFS('Test Cases'!B:B,A40,'Test Cases'!J:J,"")</f>
        <v>0</v>
      </c>
    </row>
    <row r="41" spans="1:6" x14ac:dyDescent="0.25">
      <c r="A41" s="11" t="s">
        <v>260</v>
      </c>
      <c r="B41" s="5">
        <f>COUNTIF('Test Cases'!B:B,A41)</f>
        <v>9</v>
      </c>
      <c r="C41" s="16">
        <f>COUNTIFS('Test Cases'!B:B,A41,'Test Cases'!J:J,"Pass")</f>
        <v>4</v>
      </c>
      <c r="D41" s="17">
        <f>COUNTIFS('Test Cases'!B:B,A41,'Test Cases'!J:J,"Fail")</f>
        <v>0</v>
      </c>
      <c r="E41" s="5">
        <f>COUNTIFS('Test Cases'!B:B,A41,'Test Cases'!J:J,"Blocked")</f>
        <v>5</v>
      </c>
      <c r="F41" s="5">
        <f>COUNTIFS('Test Cases'!B:B,A41,'Test Cases'!J:J,"Not executed")+COUNTIFS('Test Cases'!B:B,A41,'Test Cases'!J:J,"")</f>
        <v>0</v>
      </c>
    </row>
    <row r="42" spans="1:6" x14ac:dyDescent="0.25">
      <c r="A42" s="11" t="s">
        <v>489</v>
      </c>
      <c r="B42" s="5">
        <f>COUNTIF('Test Cases'!B:B,A42)</f>
        <v>5</v>
      </c>
      <c r="C42" s="16">
        <f>COUNTIFS('Test Cases'!B:B,A42,'Test Cases'!J:J,"Pass")</f>
        <v>3</v>
      </c>
      <c r="D42" s="17">
        <f>COUNTIFS('Test Cases'!B:B,A42,'Test Cases'!J:J,"Fail")</f>
        <v>0</v>
      </c>
      <c r="E42" s="5">
        <f>COUNTIFS('Test Cases'!B:B,A42,'Test Cases'!J:J,"Blocked")</f>
        <v>2</v>
      </c>
      <c r="F42" s="5">
        <f>COUNTIFS('Test Cases'!B:B,A42,'Test Cases'!J:J,"Not executed")+COUNTIFS('Test Cases'!B:B,A42,'Test Cases'!J:J,"")</f>
        <v>0</v>
      </c>
    </row>
    <row r="43" spans="1:6" x14ac:dyDescent="0.25">
      <c r="A43" s="11" t="s">
        <v>442</v>
      </c>
      <c r="B43" s="5">
        <f>COUNTIF('Test Cases'!B:B,A43)</f>
        <v>4</v>
      </c>
      <c r="C43" s="16">
        <f>COUNTIFS('Test Cases'!B:B,A43,'Test Cases'!J:J,"Pass")</f>
        <v>2</v>
      </c>
      <c r="D43" s="17">
        <f>COUNTIFS('Test Cases'!B:B,A43,'Test Cases'!J:J,"Fail")</f>
        <v>0</v>
      </c>
      <c r="E43" s="5">
        <f>COUNTIFS('Test Cases'!B:B,A43,'Test Cases'!J:J,"Blocked")</f>
        <v>2</v>
      </c>
      <c r="F43" s="5">
        <f>COUNTIFS('Test Cases'!B:B,A43,'Test Cases'!J:J,"Not executed")+COUNTIFS('Test Cases'!B:B,A43,'Test Cases'!J:J,"")</f>
        <v>0</v>
      </c>
    </row>
    <row r="45" spans="1:6" ht="17.25" x14ac:dyDescent="0.3">
      <c r="A45" s="23" t="s">
        <v>555</v>
      </c>
      <c r="B45" s="24"/>
    </row>
    <row r="46" spans="1:6" x14ac:dyDescent="0.25">
      <c r="A46" s="1" t="s">
        <v>556</v>
      </c>
      <c r="B46" s="1" t="s">
        <v>536</v>
      </c>
    </row>
    <row r="47" spans="1:6" x14ac:dyDescent="0.25">
      <c r="A47" s="18" t="s">
        <v>541</v>
      </c>
      <c r="B47" s="19">
        <f>B19</f>
        <v>71</v>
      </c>
    </row>
    <row r="48" spans="1:6" x14ac:dyDescent="0.25">
      <c r="A48" s="18" t="s">
        <v>543</v>
      </c>
      <c r="B48" s="19">
        <f>B20</f>
        <v>2</v>
      </c>
    </row>
    <row r="49" spans="1:6" x14ac:dyDescent="0.25">
      <c r="A49" s="18" t="s">
        <v>545</v>
      </c>
      <c r="B49" s="19">
        <f>B21</f>
        <v>25</v>
      </c>
    </row>
    <row r="50" spans="1:6" x14ac:dyDescent="0.25">
      <c r="A50" s="18" t="s">
        <v>547</v>
      </c>
      <c r="B50" s="19">
        <f>B22</f>
        <v>1</v>
      </c>
    </row>
    <row r="51" spans="1:6" x14ac:dyDescent="0.25">
      <c r="A51" s="18" t="s">
        <v>549</v>
      </c>
      <c r="B51" s="19">
        <f>B23</f>
        <v>0</v>
      </c>
    </row>
    <row r="53" spans="1:6" ht="17.25" x14ac:dyDescent="0.3">
      <c r="A53" s="23" t="s">
        <v>557</v>
      </c>
      <c r="B53" s="24"/>
      <c r="C53" s="24"/>
      <c r="D53" s="24"/>
      <c r="E53" s="24"/>
      <c r="F53" s="24"/>
    </row>
    <row r="54" spans="1:6" ht="36" customHeight="1" x14ac:dyDescent="0.25">
      <c r="A54" s="25" t="s">
        <v>558</v>
      </c>
      <c r="B54" s="22"/>
      <c r="C54" s="21"/>
      <c r="D54" s="22"/>
      <c r="E54" s="22"/>
      <c r="F54" s="22"/>
    </row>
    <row r="55" spans="1:6" ht="8.1" customHeight="1" x14ac:dyDescent="0.25"/>
    <row r="56" spans="1:6" ht="36" customHeight="1" x14ac:dyDescent="0.25">
      <c r="A56" s="25" t="s">
        <v>559</v>
      </c>
      <c r="B56" s="22"/>
      <c r="C56" s="21"/>
      <c r="D56" s="22"/>
      <c r="E56" s="22"/>
      <c r="F56" s="22"/>
    </row>
    <row r="57" spans="1:6" ht="8.1" customHeight="1" x14ac:dyDescent="0.25"/>
    <row r="58" spans="1:6" ht="36" customHeight="1" x14ac:dyDescent="0.25">
      <c r="A58" s="25" t="s">
        <v>560</v>
      </c>
      <c r="B58" s="22"/>
      <c r="C58" s="21"/>
      <c r="D58" s="22"/>
      <c r="E58" s="22"/>
      <c r="F58" s="22"/>
    </row>
    <row r="59" spans="1:6" ht="8.1" customHeight="1" x14ac:dyDescent="0.25"/>
    <row r="60" spans="1:6" ht="36" customHeight="1" x14ac:dyDescent="0.25">
      <c r="A60" s="25" t="s">
        <v>561</v>
      </c>
      <c r="B60" s="22"/>
      <c r="C60" s="21" t="s">
        <v>562</v>
      </c>
      <c r="D60" s="22"/>
      <c r="E60" s="22"/>
      <c r="F60" s="22"/>
    </row>
    <row r="61" spans="1:6" ht="8.1" customHeight="1" x14ac:dyDescent="0.25"/>
    <row r="62" spans="1:6" ht="36" customHeight="1" x14ac:dyDescent="0.25">
      <c r="A62" s="25" t="s">
        <v>563</v>
      </c>
      <c r="B62" s="22"/>
      <c r="C62" s="21" t="s">
        <v>637</v>
      </c>
      <c r="D62" s="22"/>
      <c r="E62" s="22"/>
      <c r="F62" s="22"/>
    </row>
    <row r="63" spans="1:6" ht="8.1" customHeight="1" x14ac:dyDescent="0.25"/>
    <row r="64" spans="1:6" ht="36" customHeight="1" x14ac:dyDescent="0.25">
      <c r="A64" s="25" t="s">
        <v>565</v>
      </c>
      <c r="B64" s="22"/>
      <c r="C64" s="21" t="s">
        <v>564</v>
      </c>
      <c r="D64" s="22"/>
      <c r="E64" s="22"/>
      <c r="F64" s="22"/>
    </row>
    <row r="65" spans="1:6" ht="8.1" customHeight="1" x14ac:dyDescent="0.25"/>
    <row r="66" spans="1:6" ht="17.25" x14ac:dyDescent="0.3">
      <c r="A66" s="32"/>
      <c r="B66" s="31"/>
      <c r="C66" s="31"/>
      <c r="D66" s="31"/>
      <c r="E66" s="31"/>
      <c r="F66" s="31"/>
    </row>
    <row r="67" spans="1:6" ht="20.25" customHeight="1" x14ac:dyDescent="0.25">
      <c r="A67" s="20"/>
      <c r="B67" s="31"/>
      <c r="C67" s="31"/>
      <c r="D67" s="31"/>
      <c r="E67" s="31"/>
      <c r="F67" s="31"/>
    </row>
    <row r="68" spans="1:6" x14ac:dyDescent="0.25">
      <c r="A68" s="31"/>
      <c r="B68" s="31"/>
      <c r="C68" s="31"/>
      <c r="D68" s="31"/>
      <c r="E68" s="31"/>
      <c r="F68" s="31"/>
    </row>
    <row r="69" spans="1:6" x14ac:dyDescent="0.25">
      <c r="A69" s="31"/>
      <c r="B69" s="31"/>
      <c r="C69" s="31"/>
      <c r="D69" s="31"/>
      <c r="E69" s="31"/>
      <c r="F69" s="31"/>
    </row>
  </sheetData>
  <mergeCells count="45">
    <mergeCell ref="A1:F1"/>
    <mergeCell ref="C12:F12"/>
    <mergeCell ref="A10:B10"/>
    <mergeCell ref="C21:F21"/>
    <mergeCell ref="A13:B13"/>
    <mergeCell ref="C11:F11"/>
    <mergeCell ref="A9:B9"/>
    <mergeCell ref="A6:B6"/>
    <mergeCell ref="A2:F2"/>
    <mergeCell ref="A7:B7"/>
    <mergeCell ref="C6:F6"/>
    <mergeCell ref="A4:F4"/>
    <mergeCell ref="C5:F5"/>
    <mergeCell ref="C20:F20"/>
    <mergeCell ref="A5:B5"/>
    <mergeCell ref="C10:F10"/>
    <mergeCell ref="A15:C15"/>
    <mergeCell ref="A8:B8"/>
    <mergeCell ref="C22:F22"/>
    <mergeCell ref="A62:B62"/>
    <mergeCell ref="C9:F9"/>
    <mergeCell ref="C56:F56"/>
    <mergeCell ref="C60:F60"/>
    <mergeCell ref="A58:B58"/>
    <mergeCell ref="C13:F13"/>
    <mergeCell ref="C18:F18"/>
    <mergeCell ref="A54:B54"/>
    <mergeCell ref="C24:F24"/>
    <mergeCell ref="A53:F53"/>
    <mergeCell ref="A12:B12"/>
    <mergeCell ref="C54:F54"/>
    <mergeCell ref="A11:B11"/>
    <mergeCell ref="A45:B45"/>
    <mergeCell ref="C7:F7"/>
    <mergeCell ref="A26:F26"/>
    <mergeCell ref="C19:F19"/>
    <mergeCell ref="C62:F62"/>
    <mergeCell ref="A56:B56"/>
    <mergeCell ref="C58:F58"/>
    <mergeCell ref="C64:F64"/>
    <mergeCell ref="C17:F17"/>
    <mergeCell ref="C23:F23"/>
    <mergeCell ref="A64:B64"/>
    <mergeCell ref="C8:F8"/>
    <mergeCell ref="A60:B60"/>
  </mergeCells>
  <pageMargins left="0.75" right="0.75" top="1" bottom="1" header="0.5" footer="0.5"/>
  <pageSetup orientation="landscape"/>
  <headerFooter>
    <oddHeader>&amp;LKitchMemo — Test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Test Cases</vt:lpstr>
      <vt:lpstr>Test Report</vt:lpstr>
      <vt:lpstr>'Test Report'!Print_Area</vt:lpstr>
      <vt:lpstr>'Test Cases'!Print_Titles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guanxin wu</cp:lastModifiedBy>
  <dcterms:created xsi:type="dcterms:W3CDTF">2026-09-03T10:36:56Z</dcterms:created>
  <dcterms:modified xsi:type="dcterms:W3CDTF">2026-09-03T13:55:08Z</dcterms:modified>
</cp:coreProperties>
</file>